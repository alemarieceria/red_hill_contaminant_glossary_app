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Google Drive\Red Hill Registry\Contaminant Glossary\Current github versions\"/>
    </mc:Choice>
  </mc:AlternateContent>
  <xr:revisionPtr revIDLastSave="0" documentId="13_ncr:1_{4A7BA9CF-F227-4454-927B-630750E09B45}" xr6:coauthVersionLast="47" xr6:coauthVersionMax="47" xr10:uidLastSave="{00000000-0000-0000-0000-000000000000}"/>
  <bookViews>
    <workbookView xWindow="28680" yWindow="-120" windowWidth="29040" windowHeight="15720" xr2:uid="{00000000-000D-0000-FFFF-FFFF00000000}"/>
  </bookViews>
  <sheets>
    <sheet name="Introduction" sheetId="1" r:id="rId1"/>
    <sheet name="Glossary" sheetId="2" r:id="rId2"/>
    <sheet name="Footnot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yJBDENS08vbWrFb5AADpjsOhFZuJDf8FF5StqVLP1Hk="/>
    </ext>
  </extLst>
</workbook>
</file>

<file path=xl/calcChain.xml><?xml version="1.0" encoding="utf-8"?>
<calcChain xmlns="http://schemas.openxmlformats.org/spreadsheetml/2006/main">
  <c r="AL153" i="2" l="1"/>
  <c r="AD153" i="2"/>
  <c r="AL152" i="2"/>
  <c r="AD152" i="2"/>
  <c r="AL151" i="2"/>
  <c r="AD151" i="2"/>
  <c r="AL150" i="2"/>
  <c r="AL149" i="2"/>
  <c r="AD149" i="2"/>
  <c r="AL148" i="2"/>
  <c r="AD148" i="2"/>
  <c r="AL147" i="2"/>
  <c r="AD147" i="2"/>
  <c r="AL146" i="2"/>
  <c r="AD146" i="2"/>
  <c r="AL145" i="2"/>
  <c r="AD145" i="2"/>
  <c r="AL144" i="2"/>
  <c r="AD144" i="2"/>
  <c r="AL143" i="2"/>
  <c r="AD143" i="2"/>
  <c r="AL142" i="2"/>
  <c r="AD142" i="2"/>
  <c r="AL141" i="2"/>
  <c r="AD141" i="2"/>
  <c r="AL140" i="2"/>
  <c r="AL139" i="2"/>
  <c r="AL138" i="2"/>
  <c r="AL137" i="2"/>
  <c r="AL136" i="2"/>
  <c r="AL135" i="2"/>
  <c r="AL134" i="2"/>
  <c r="AL133" i="2"/>
  <c r="AL132" i="2"/>
  <c r="AD132" i="2"/>
  <c r="AL131" i="2"/>
  <c r="AL130" i="2"/>
  <c r="AL129" i="2"/>
  <c r="AL128" i="2"/>
  <c r="AD128" i="2"/>
  <c r="AL127" i="2"/>
  <c r="AD127" i="2"/>
  <c r="AL126" i="2"/>
  <c r="AD126" i="2"/>
  <c r="AL125" i="2"/>
  <c r="AD125" i="2"/>
  <c r="AL124" i="2"/>
  <c r="AD124" i="2"/>
  <c r="AL123" i="2"/>
  <c r="AD123" i="2"/>
  <c r="AL122" i="2"/>
  <c r="AL121" i="2"/>
  <c r="AD121" i="2"/>
  <c r="AL120" i="2"/>
  <c r="AL119" i="2"/>
  <c r="AD119" i="2"/>
  <c r="AL118" i="2"/>
  <c r="AL117" i="2"/>
  <c r="AD117" i="2"/>
  <c r="AL116" i="2"/>
  <c r="AD116" i="2"/>
  <c r="AL115" i="2"/>
  <c r="AD115" i="2"/>
  <c r="AL114" i="2"/>
  <c r="AD114" i="2"/>
  <c r="AL113" i="2"/>
  <c r="AL112" i="2"/>
  <c r="AL111" i="2"/>
  <c r="AD111" i="2"/>
  <c r="AL110" i="2"/>
  <c r="AL109" i="2"/>
  <c r="AD109" i="2"/>
  <c r="AL108" i="2"/>
  <c r="AD108" i="2"/>
  <c r="AL107" i="2"/>
  <c r="AD107" i="2"/>
  <c r="AL106" i="2"/>
  <c r="AD106" i="2"/>
  <c r="AL105" i="2"/>
  <c r="AD105" i="2"/>
  <c r="AL104" i="2"/>
  <c r="AL103" i="2"/>
  <c r="AL102" i="2"/>
  <c r="AD102" i="2"/>
  <c r="AL101" i="2"/>
  <c r="AD101" i="2"/>
  <c r="AL100" i="2"/>
  <c r="AD100" i="2"/>
  <c r="AL99" i="2"/>
  <c r="AD99" i="2"/>
  <c r="AL98" i="2"/>
  <c r="AD98" i="2"/>
  <c r="AL97" i="2"/>
  <c r="AD97" i="2"/>
  <c r="AL96" i="2"/>
  <c r="AD96" i="2"/>
  <c r="AL95" i="2"/>
  <c r="AL94" i="2"/>
  <c r="AL93" i="2"/>
  <c r="AD93" i="2"/>
  <c r="AL92" i="2"/>
  <c r="AD92" i="2"/>
  <c r="AL91" i="2"/>
  <c r="AL90" i="2"/>
  <c r="AD90" i="2"/>
  <c r="AL89" i="2"/>
  <c r="AD89" i="2"/>
  <c r="AL88" i="2"/>
  <c r="AD88" i="2"/>
  <c r="AL87" i="2"/>
  <c r="AD87" i="2"/>
  <c r="AL86" i="2"/>
  <c r="AD86" i="2"/>
  <c r="AL85" i="2"/>
  <c r="AL84" i="2"/>
  <c r="AD84" i="2"/>
  <c r="AL83" i="2"/>
  <c r="AD83" i="2"/>
  <c r="AL82" i="2"/>
  <c r="AD82" i="2"/>
  <c r="AL81" i="2"/>
  <c r="AL80" i="2"/>
  <c r="AD80" i="2"/>
  <c r="AL79" i="2"/>
  <c r="AD79" i="2"/>
  <c r="AL78" i="2"/>
  <c r="AD78" i="2"/>
  <c r="AL77" i="2"/>
  <c r="AD77" i="2"/>
  <c r="AL76" i="2"/>
  <c r="AD76" i="2"/>
  <c r="AL75" i="2"/>
  <c r="AD75" i="2"/>
  <c r="AL74" i="2"/>
  <c r="AD74" i="2"/>
  <c r="AL73" i="2"/>
  <c r="AD73" i="2"/>
  <c r="AL72" i="2"/>
  <c r="AD72" i="2"/>
  <c r="AL71" i="2"/>
  <c r="AD71" i="2"/>
  <c r="AL70" i="2"/>
  <c r="AD70" i="2"/>
  <c r="AL69" i="2"/>
  <c r="AD69" i="2"/>
  <c r="AL68" i="2"/>
  <c r="AD68" i="2"/>
  <c r="AL67" i="2"/>
  <c r="AD67" i="2"/>
  <c r="AL66" i="2"/>
  <c r="AL65" i="2"/>
  <c r="AD65" i="2"/>
  <c r="AL64" i="2"/>
  <c r="AD64" i="2"/>
  <c r="AL63" i="2"/>
  <c r="AD63" i="2"/>
  <c r="AL62" i="2"/>
  <c r="AD62" i="2"/>
  <c r="AL61" i="2"/>
  <c r="AD61" i="2"/>
  <c r="AL60" i="2"/>
  <c r="AD60" i="2"/>
  <c r="AL59" i="2"/>
  <c r="AD59" i="2"/>
  <c r="AL58" i="2"/>
  <c r="AD58" i="2"/>
  <c r="AL57" i="2"/>
  <c r="AL56" i="2"/>
  <c r="AD56" i="2"/>
  <c r="AL55" i="2"/>
  <c r="AD55" i="2"/>
  <c r="AL54" i="2"/>
  <c r="AD54" i="2"/>
  <c r="AL53" i="2"/>
  <c r="AL52" i="2"/>
  <c r="AD52" i="2"/>
  <c r="AL51" i="2"/>
  <c r="AD51" i="2"/>
  <c r="AL50" i="2"/>
  <c r="AL49" i="2"/>
  <c r="AD49" i="2"/>
  <c r="AL48" i="2"/>
  <c r="AL47" i="2"/>
  <c r="AD47" i="2"/>
  <c r="AL46" i="2"/>
  <c r="AD46" i="2"/>
  <c r="AL45" i="2"/>
  <c r="AD45" i="2"/>
  <c r="AL44" i="2"/>
  <c r="AD44" i="2"/>
  <c r="AL43" i="2"/>
  <c r="AD43" i="2"/>
  <c r="AL42" i="2"/>
  <c r="AD42" i="2"/>
  <c r="AL41" i="2"/>
  <c r="AD41" i="2"/>
  <c r="AL40" i="2"/>
  <c r="AL39" i="2"/>
  <c r="AL38" i="2"/>
  <c r="AL37" i="2"/>
  <c r="AD37" i="2"/>
  <c r="AL36" i="2"/>
  <c r="AD36" i="2"/>
  <c r="AL35" i="2"/>
  <c r="AL34" i="2"/>
  <c r="AD34" i="2"/>
  <c r="AL33" i="2"/>
  <c r="AL32" i="2"/>
  <c r="AD32" i="2"/>
  <c r="AL31" i="2"/>
  <c r="AD31" i="2"/>
  <c r="AL30" i="2"/>
  <c r="AD30" i="2"/>
  <c r="AL29" i="2"/>
  <c r="AD29" i="2"/>
  <c r="AL28" i="2"/>
  <c r="AD28" i="2"/>
  <c r="AL27" i="2"/>
  <c r="AD27" i="2"/>
  <c r="AL26" i="2"/>
  <c r="AD26" i="2"/>
  <c r="AL25" i="2"/>
  <c r="AD25" i="2"/>
  <c r="AL24" i="2"/>
  <c r="AD24" i="2"/>
  <c r="AL23" i="2"/>
  <c r="AD23" i="2"/>
  <c r="AL22" i="2"/>
  <c r="AL21" i="2"/>
  <c r="AL20" i="2"/>
  <c r="AD20" i="2"/>
  <c r="AL19" i="2"/>
  <c r="AD19" i="2"/>
  <c r="AL18" i="2"/>
  <c r="AD18" i="2"/>
  <c r="AL17" i="2"/>
  <c r="AD17" i="2"/>
  <c r="AL16" i="2"/>
  <c r="AD16" i="2"/>
  <c r="AL15" i="2"/>
  <c r="AD15" i="2"/>
  <c r="AL14" i="2"/>
  <c r="AD14" i="2"/>
  <c r="AL13" i="2"/>
  <c r="AD13" i="2"/>
  <c r="AL12" i="2"/>
  <c r="AD12" i="2"/>
  <c r="AL11" i="2"/>
  <c r="AD11" i="2"/>
  <c r="AL10" i="2"/>
  <c r="AD10" i="2"/>
  <c r="AL9" i="2"/>
  <c r="AD9" i="2"/>
  <c r="AL8" i="2"/>
  <c r="AD8" i="2"/>
  <c r="AL7" i="2"/>
  <c r="AD7" i="2"/>
  <c r="AL6" i="2"/>
  <c r="AD6" i="2"/>
  <c r="AL5" i="2"/>
  <c r="AD5" i="2"/>
  <c r="AL4" i="2"/>
  <c r="AD4" i="2"/>
  <c r="AL3" i="2"/>
  <c r="AD3" i="2"/>
  <c r="AL2" i="2"/>
  <c r="AD2" i="2"/>
</calcChain>
</file>

<file path=xl/sharedStrings.xml><?xml version="1.0" encoding="utf-8"?>
<sst xmlns="http://schemas.openxmlformats.org/spreadsheetml/2006/main" count="1699" uniqueCount="1068">
  <si>
    <t>NOTICE</t>
  </si>
  <si>
    <t>Status color coding</t>
  </si>
  <si>
    <t>Version control</t>
  </si>
  <si>
    <t>Column complete</t>
  </si>
  <si>
    <t>This document is under version B</t>
  </si>
  <si>
    <t>This is a draft product not yet intended for public release.</t>
  </si>
  <si>
    <t>Column missing info, see comment</t>
  </si>
  <si>
    <t>Version B branched from version A at EoD 2026-01-15 savepoint to revert sort mistakes that broke associations later</t>
  </si>
  <si>
    <t>The material contained in this product is neither complete nor</t>
  </si>
  <si>
    <t>Cell-specific question/problem</t>
  </si>
  <si>
    <t>warranted to be free of errors.</t>
  </si>
  <si>
    <t>In progress</t>
  </si>
  <si>
    <t>Introduction</t>
  </si>
  <si>
    <t>Purpose</t>
  </si>
  <si>
    <t>This document will serve as a centralized database of all contaminants detected in the various monitoring efforts surrounding the Red Hill Water Crisis.</t>
  </si>
  <si>
    <t>This document will aid researchers by:</t>
  </si>
  <si>
    <t>Providing a cross-reference between all data sets/data files that contain detections of speecific analytes</t>
  </si>
  <si>
    <t>Providing references to background information about the sources, uses, and characteristics of certain analytes</t>
  </si>
  <si>
    <t>Collecting other relevant information that may be helpful to researchers.</t>
  </si>
  <si>
    <t>This document will aid the public by serving as the foundation for a public-facing contaminant glossary to be hosted on the Red Hill Info Hub website.</t>
  </si>
  <si>
    <t>Layout</t>
  </si>
  <si>
    <t>Each row corresponds to a unique analyte.</t>
  </si>
  <si>
    <t>Information under the heading "Identification" corresponds to ways to uniquely identify this specific analyte, down to the level of relevant stereochemistry. This includes:</t>
  </si>
  <si>
    <t>Name as given in datasets</t>
  </si>
  <si>
    <t>Name simplified for sorting</t>
  </si>
  <si>
    <t>To simplify names for sorting, move locants, isomer designators, etc. to the end of the name and connect with a comma. For example, "1-bromobutane" becomes "bromobutane, 1-".</t>
  </si>
  <si>
    <t>This allows similar compounds to sort together - for example, "1,1-dichloroethane", "1,1-dichloropropane", and "1,2-dichloroethane" sorts in that order, while the simplified names sort the two dichloroethanes together.</t>
  </si>
  <si>
    <t>"a.k.a.s" - trade names, common names, or IUPAC preferred names</t>
  </si>
  <si>
    <t>CASRN - the Chemical Abstracts Service Registry Number is a unique identifier given to a specific substance that is used to specifically identify it among all similarly-named substances.</t>
  </si>
  <si>
    <t>Information under the heading "Classification" is used to group analytes as members of specific classes. This includes:</t>
  </si>
  <si>
    <t>Classification at three levels (work in progress, will create a graphic to illustrate classification scheme)</t>
  </si>
  <si>
    <t>Membership in various groups (true/false)</t>
  </si>
  <si>
    <t>BTEXMN - benzene, toluene, ethylbenzene, xylenes, methylnaphthalenes, and naphthalene</t>
  </si>
  <si>
    <t>DBP - disinfection byproducts</t>
  </si>
  <si>
    <t>Known JP-5 component - something known to be added to JP-5 based on literature or experimental reports of its presence and/or the relevant MILSPEC</t>
  </si>
  <si>
    <t>Compounds marked TRUE have definitive evidence of their presence in JP-5 (has been detected in experimental samples unambiguously)</t>
  </si>
  <si>
    <t>Compounds marked Possible have convincing evidence of their presence in JP-5</t>
  </si>
  <si>
    <t>PAH - polycyclic aromatic hydrocarbons</t>
  </si>
  <si>
    <t>Information under the heading "Atom &amp; functional group inventory" is used to group analytes by chemical similarity.</t>
  </si>
  <si>
    <t>This is potentially useful for both chemists and health researchers - e.g., this allows for sorting to find all aldehydes.</t>
  </si>
  <si>
    <t>Information includes:</t>
  </si>
  <si>
    <t>Atom inventory - counts of chemically relevant atoms</t>
  </si>
  <si>
    <t>Carbon - for sorting by carbon range</t>
  </si>
  <si>
    <t>Nitrogen - for potential reactivity</t>
  </si>
  <si>
    <t>Halogens - potentially interesting as DBPs or particularlly hazardous materials</t>
  </si>
  <si>
    <t>Functional group inventory - counts of specific moieties</t>
  </si>
  <si>
    <t>1°, 2°, and 3° alcohols</t>
  </si>
  <si>
    <t>Ethers</t>
  </si>
  <si>
    <t>Ketones &amp; aldehydes</t>
  </si>
  <si>
    <t>Esters</t>
  </si>
  <si>
    <t>True/false criteria</t>
  </si>
  <si>
    <t>Halogenated - true if the analyte contains fluorine, chlorine, bromine, or iodine</t>
  </si>
  <si>
    <t>Saturated - true if the analyte does not contain any unsaturations</t>
  </si>
  <si>
    <t>Information under the heading "Regulations" is used to sort for contaminants included in government regulations</t>
  </si>
  <si>
    <t>The column "NPDWR" and the subsequent columns "MCL" and "MCLG" show if the analyte is regulated under the National Primary Drinking Water Regulations, and if so, at what levels.</t>
  </si>
  <si>
    <t>The column "CCL5" shows if the analyte is included in Contaminant Candidate List 5</t>
  </si>
  <si>
    <t>The column "Montreal Protocol" shows if the analyte is an ozone-depleting substance covered by the Montreal Protocol on Substances That Deplete the Ozone Layer</t>
  </si>
  <si>
    <t>The column "Stockholm Convention" shows if the analyte is a persistent organic pollutant covered by the Stockholm Convention on Persistent Organic Pollutants</t>
  </si>
  <si>
    <t>POPs covered by the Stockholm Convention are grouped into various annexes</t>
  </si>
  <si>
    <t>Annex A - parties must take measures to eliminate production and use</t>
  </si>
  <si>
    <t>Annex B - parties must take measures to restrict production and use</t>
  </si>
  <si>
    <t>Annex C - parties must take measures to reduce unintentional release, with the goal of continuing minimization and elimination where feasible</t>
  </si>
  <si>
    <t>Consequently, compounds are labeled "A", "B", or "C" rather than TRUE in this column</t>
  </si>
  <si>
    <t>Additional regulations will be included in this section at a later date</t>
  </si>
  <si>
    <t>Information under the heading "Sources" lists where the compound is found in everyday use.</t>
  </si>
  <si>
    <t>This information is, at the moment, primarily gleaned from Wikipedia articles and PubChem entries.</t>
  </si>
  <si>
    <t>Future revisions will include references and better sources.</t>
  </si>
  <si>
    <t>Information under the heading "Analyte in dataset…" shows all data sets and files that contain this analyte.</t>
  </si>
  <si>
    <t>Please refer to the Dataset Index and Map for more information about the datasets.</t>
  </si>
  <si>
    <t>Dataset names will be harmonized with the DI&amp;M product for ease of reference.</t>
  </si>
  <si>
    <t>If you have an additional dataset you would like to have included, please email eamonn.clarke@hawaii.edu</t>
  </si>
  <si>
    <t>Footnotes</t>
  </si>
  <si>
    <t>A</t>
  </si>
  <si>
    <t>B</t>
  </si>
  <si>
    <t>C</t>
  </si>
  <si>
    <t>Compound name given in datasets</t>
  </si>
  <si>
    <t>Compound name for sorting</t>
  </si>
  <si>
    <t>a.k.a.s</t>
  </si>
  <si>
    <t>CASRN</t>
  </si>
  <si>
    <t>InChIKey</t>
  </si>
  <si>
    <t>Primary</t>
  </si>
  <si>
    <t>Secondary</t>
  </si>
  <si>
    <t>Tertiary</t>
  </si>
  <si>
    <t>Aromatic</t>
  </si>
  <si>
    <t>BTEXMN</t>
  </si>
  <si>
    <t>DBP</t>
  </si>
  <si>
    <t>Known JP-5 component</t>
  </si>
  <si>
    <t>PAH</t>
  </si>
  <si>
    <t>Pesticide</t>
  </si>
  <si>
    <t>N</t>
  </si>
  <si>
    <t>F</t>
  </si>
  <si>
    <t>Cl</t>
  </si>
  <si>
    <t>Br</t>
  </si>
  <si>
    <t>1° alcohols</t>
  </si>
  <si>
    <t>2° alcohols</t>
  </si>
  <si>
    <t>3° alcohols</t>
  </si>
  <si>
    <t>Ketones</t>
  </si>
  <si>
    <t>Aldehydes</t>
  </si>
  <si>
    <t>Epoxides</t>
  </si>
  <si>
    <t>Amines</t>
  </si>
  <si>
    <t>Halogenated</t>
  </si>
  <si>
    <t>Saturated</t>
  </si>
  <si>
    <t>NPDWR MCLG (mg/L)</t>
  </si>
  <si>
    <t>NPDWR MCL (mg/L)</t>
  </si>
  <si>
    <t>NPDWR notes</t>
  </si>
  <si>
    <t>SMCL (mg/L)</t>
  </si>
  <si>
    <t>CCL5</t>
  </si>
  <si>
    <t>HDOH MCL (mg/L)</t>
  </si>
  <si>
    <t>HDOH more stringent</t>
  </si>
  <si>
    <t>Montreal Protocol</t>
  </si>
  <si>
    <t>Stockholm Convention</t>
  </si>
  <si>
    <t>Sources</t>
  </si>
  <si>
    <t>Notes</t>
  </si>
  <si>
    <t>Immediate</t>
  </si>
  <si>
    <t>Flushing reports</t>
  </si>
  <si>
    <t>LTM plan</t>
  </si>
  <si>
    <t>EDWM plan</t>
  </si>
  <si>
    <t>SafeWaters data (old scrape)</t>
  </si>
  <si>
    <t>SafeWaters data (checking 2026-06-22)</t>
  </si>
  <si>
    <t>2-(2-methoxyethoxy)ethanol</t>
  </si>
  <si>
    <t>diethylene glycol monomethyl ether | diglycol monomethyl ether | methoxydiglycol | methylcarbitol</t>
  </si>
  <si>
    <t>111-77-3</t>
  </si>
  <si>
    <t>SBASXUCJHJRPEV-UHFFFAOYSA-N</t>
  </si>
  <si>
    <t>Glycol ether</t>
  </si>
  <si>
    <t>2-(2-methoxyethoxy)ethanol is a chemical compound used as a fuel system icing inhibitor in jet fuels and as an industrial solvent in construction products (paints/stains, caulks/sealants), cosmetic products, high-strength cleansers, automotive fluids, and certain inks.</t>
  </si>
  <si>
    <t>Acenaphthene</t>
  </si>
  <si>
    <t>acenaphthene</t>
  </si>
  <si>
    <t>peri-ethylenenaphthalene</t>
  </si>
  <si>
    <t>83-32-9</t>
  </si>
  <si>
    <t>CWRYPZZKDGJXCA-UHFFFAOYSA-N</t>
  </si>
  <si>
    <t>Naphthalene, alkylated</t>
  </si>
  <si>
    <t>Acenaphthene is a C12 PAH produced during combustion and manufactured for industrial uses. Combustion sources include the burning of fossil fuels, forest fires, volcanic eruptions, and charbroiling of food. Industrially, it is an intermediate used in the production of dyes, plastics, biocides, and pharmaceutical products.</t>
  </si>
  <si>
    <t>Acenaphthylene</t>
  </si>
  <si>
    <t>acenaphthylene</t>
  </si>
  <si>
    <t>cyclopenta[de]naphthalene</t>
  </si>
  <si>
    <t>208-96-8</t>
  </si>
  <si>
    <t>HXGDTGSAIMULJN-UHFFFAOYSA-N</t>
  </si>
  <si>
    <t>Acenaphthylene is a C12 PAH produced during combustion and also manufactured for industrial uses. Combustion sources include the burning of fossil fuels, forest fires, volcanic eruptions, and charbroiling of food. It is used in insecticides, fungicides, and as an intermediate in the manufacture of dyes and plastics.</t>
  </si>
  <si>
    <t>Alachlor</t>
  </si>
  <si>
    <t>15972-60-8</t>
  </si>
  <si>
    <t>XCSGPAVHZFQHGE-UHFFFAOYSA-N</t>
  </si>
  <si>
    <t>Benzene</t>
  </si>
  <si>
    <t>Derivatized</t>
  </si>
  <si>
    <t>Alachlor is a synthetic herbicide used in agriculture. It has been used extensively in pre-emergent weed control formulations in crops such as corn, sorghum, and soybeans. It enters drinking water primarily from agricultural runoff.</t>
  </si>
  <si>
    <t>Anthracene</t>
  </si>
  <si>
    <t>anthracene</t>
  </si>
  <si>
    <t>120-12-7</t>
  </si>
  <si>
    <t>MWPLVEDNUUSJAV-UHFFFAOYSA-N</t>
  </si>
  <si>
    <t>Anthracene is a diesel-range PAH (C14) found in coal tar and produced by incomplete combustion processes. It is used in production of dyes and as a component of synthetic fibers and plastics. It occurs in tobacco smoke, vehicle emissions, and other combustion gasses, and is found in surface waters, waste waters, and lake sediments. </t>
  </si>
  <si>
    <t>Antimony</t>
  </si>
  <si>
    <t>antimony</t>
  </si>
  <si>
    <t>7440-36-0</t>
  </si>
  <si>
    <t>WATWJIUSRGPENY-UHFFFAOYSA-N</t>
  </si>
  <si>
    <t>Pure element</t>
  </si>
  <si>
    <t>Metalloid</t>
  </si>
  <si>
    <t>Pnictogen (nitrogen group)</t>
  </si>
  <si>
    <t>N/A</t>
  </si>
  <si>
    <t>Antimony is a chemical element found naturally in the form of the mineral stibnite (antimony trisulfide). Pure antimony is used in alloys for solders and a variety of metals, while antimony-containing compounds are commonly used in fire retardants, plastics, textiles, rubber, adhesives, ceramics, paint, and paper. Antimony is also found in petroleum products and most often contaminates drinking water by discharge from petroleum refineries.</t>
  </si>
  <si>
    <t>Arsenic</t>
  </si>
  <si>
    <t>arsenic</t>
  </si>
  <si>
    <t>7440-38-2</t>
  </si>
  <si>
    <t>RQNWIZPPADIBDY-UHFFFAOYSA-N</t>
  </si>
  <si>
    <t>Arsenic is a chemical element used in rat poison, agricultural insecticides, pesticides, and herbicides. Small amounts of arsenic are used in the production of electronics. Major sources in drinking water include naturally-occurring mineral deposits, orchard runoff, and industrial runoff from glass and electronics production.</t>
  </si>
  <si>
    <t>Atrazine</t>
  </si>
  <si>
    <t>AAtrex | Atranex | Atratol | Atred | Atrex | Attrex | Fenatrol | Griffex | Mebazine | Primatol A | Vectral SC | Weedex</t>
  </si>
  <si>
    <t>1912-24-9</t>
  </si>
  <si>
    <t>MXWJVTOOROXGIU-UHFFFAOYSA-N</t>
  </si>
  <si>
    <t>Triazine</t>
  </si>
  <si>
    <t>Atrazine is a synthetic herbicide widely used to control broadleaf weeds and grasses in agricultural crops. It enters the environment and drinking water supplies through agricultural application, runoff and leaching into groundwater and surface water. </t>
  </si>
  <si>
    <t>Barium</t>
  </si>
  <si>
    <t>barium</t>
  </si>
  <si>
    <t>7440-39-3</t>
  </si>
  <si>
    <t>DSAJWYNOEDNPEQ-UHFFFAOYSA-N</t>
  </si>
  <si>
    <t>Metal</t>
  </si>
  <si>
    <t>Alkaline earth metal</t>
  </si>
  <si>
    <t>Barium is a chemical element that is commonly used as a filler for rubber, plastics, and resins. Some of its compounds are used in signal flares, fireworks, drilling fluid, X-ray radiocontrast agents, and rodenticides. It is released from drilling and metal refining operations, and by erosion of natural mineral deposits.</t>
  </si>
  <si>
    <t>benzene</t>
  </si>
  <si>
    <t>C6H6 | benzol | benzole | benzolene</t>
  </si>
  <si>
    <t>71-43-2</t>
  </si>
  <si>
    <t>UHOVQNZJYSORNB-UHFFFAOYSA-N</t>
  </si>
  <si>
    <t>Benzene is a gasoline range aromatic hydrocarbon (C6) found in petroleum and used as a solvent for fats, oils, inks, paints, rubber, and plastics, and as a chemical intermediate in the manufacture of detergents, explosives, pharmaceuticals, and dyestuffs. Benzene enters water sources via industrial discharge as well as leaching from fuel storage tanks and landfills.</t>
  </si>
  <si>
    <t>Benzo (a) anthracene</t>
  </si>
  <si>
    <t>benzo[a]anthracene</t>
  </si>
  <si>
    <t>benz[a]anthracene | benzanthrene | tetraphene</t>
  </si>
  <si>
    <t>56-55-3</t>
  </si>
  <si>
    <t>DXBHBZVCASKNBY-UHFFFAOYSA-N</t>
  </si>
  <si>
    <t>Benzo[a]anthracene is a diesel-range PAH (C18) produced from incomplete combustion of organic materials and found in coal tar, roasted coffee, tobacco smoke, smoked foods, and automobile exhaust. There are no known uses of this compound other than research and it is not produced at scale.</t>
  </si>
  <si>
    <t>Benzo (a) pyrene</t>
  </si>
  <si>
    <t>benzo[a]pyrene</t>
  </si>
  <si>
    <t>B(a)P | 3,4-BP | 3,4-Benzopyrene | 3,4-Benzpyrene | BP | benzo[a]pyrene | benzo[def]chrysene | benzo[pqr]tetraphene | benzpyrene</t>
  </si>
  <si>
    <t>50-32-8</t>
  </si>
  <si>
    <t>FMMWHPNWAFZXNH-UHFFFAOYSA-N</t>
  </si>
  <si>
    <t>Benzo[a]pyrene is a diesel-range PAH (C20) commonly found in coal tar. It is also found in tobacco smoke, vehicle exhaust, industrial emissions, and many foods such as grilled meats, as it is produced from incomplete combustion of organic materials. Benzo[a]pyrene is found in and leaches from asphalt that was historically used to line water storage tanks and distribution lines, which is its primary source as a drinking water contaminant.</t>
  </si>
  <si>
    <t>Benzo (b) fluoranthene</t>
  </si>
  <si>
    <t>benzo[b]fluoranthene</t>
  </si>
  <si>
    <t>2,3-Benzfluoranthene | 2,3-Benzofluoranthene | 3,4-Benzfluoranthene | B(b)F | BF | Benz(e)acephenanthrylene | Benzo(''b'')fluoranthene | benz[e]acephenanthrylene</t>
  </si>
  <si>
    <t>205-99-2</t>
  </si>
  <si>
    <t>FTOVXSOBNPWTSH-UHFFFAOYSA-N</t>
  </si>
  <si>
    <t>Benzo[b]fluoranthene is a diesel-range PAH (C20) commonly found in fossil fuels and petroleum products. It is also found in tobacco smoke, vehicle exhaust, and industrial emissions as it is produced from incomplete combustion of organic materials.</t>
  </si>
  <si>
    <t>Benzo (g,h,i) perylene</t>
  </si>
  <si>
    <t>benzo[ghi]perhylene</t>
  </si>
  <si>
    <t>1,12-benzoperylene | benzo(ghi)perilene</t>
  </si>
  <si>
    <t>191-24-2</t>
  </si>
  <si>
    <t>GYFAGKUZYNFMBN-UHFFFAOYSA-N</t>
  </si>
  <si>
    <t>Benzo[ghi]perylene is a diesel-range PAH (C22) commonly found in coal tar and crude oil. It is also found in tobacco smoke, vehicle exhaust, and industrial emissions as it is produced from incomplete combustion of organic materials.</t>
  </si>
  <si>
    <t>Benzo (k) fluoranthene</t>
  </si>
  <si>
    <t>benzo[k]fluoranthene</t>
  </si>
  <si>
    <t>11,12-Benzofluoranthene | Benzo(''k'')fluoranthene</t>
  </si>
  <si>
    <t>207-916-6</t>
  </si>
  <si>
    <t>HAXBIWFMXWRORI-UHFFFAOYSA-N</t>
  </si>
  <si>
    <t>Benzo[k]fluoranthene is a diesel-range PAH (C20) commonly found in coal tar and crude oil. It is also found in tobacco smoke, vehicle exhaust, and industrial emissions as it is produced from incomplete combustion of organic materials.</t>
  </si>
  <si>
    <t>Dibenzo (a,h) anthracene</t>
  </si>
  <si>
    <t>benzo[k]tetraphene</t>
  </si>
  <si>
    <t>53-70-3</t>
  </si>
  <si>
    <t>LHRCREOYAASXPZ-UHFFFAOYSA-N</t>
  </si>
  <si>
    <t>Benzo[k]tetraphene is a diesel-range PAH (C22) commonly found in coal tar and crude oil. It is also found in tobacco smoke, vehicle exhaust, and industrial emissions as it is produced from incomplete combustion of organic materials.</t>
  </si>
  <si>
    <t>Beryllium</t>
  </si>
  <si>
    <t>beryllium</t>
  </si>
  <si>
    <t>7440-41-7</t>
  </si>
  <si>
    <t>ATBAMAFKBVZNFJ-UHFFFAOYSA-N</t>
  </si>
  <si>
    <t>Beryllium is a chemical element naturally found in minerals, rocks, coal, soil, and volcanic dust. Its alloys with other metals are used as electrical components, tools, and structural components, especially in aircraft, missiles, and satellites. Beryllium can contaminate drinking water sources by release from industrial operations (coal-burning power plants and factories and the metal refining, electrical, aerospace, and defense industries).</t>
  </si>
  <si>
    <t>Bis(2-ethylhexyl)adipate</t>
  </si>
  <si>
    <t>bis(2-ethylhexyl)adipate</t>
  </si>
  <si>
    <t>103-23-1</t>
  </si>
  <si>
    <t>SAOKZLXYCUGLFA-UHFFFAOYSA-N</t>
  </si>
  <si>
    <t>Aliphatic</t>
  </si>
  <si>
    <t>Alkane</t>
  </si>
  <si>
    <t>Branched</t>
  </si>
  <si>
    <t>A synthetic organic compound widely used as a plasticizer to increase flexibility in plastics, particularly in polyvinyl chloride (PVC) food-packaging materials. As a solvent it is used as a component of aircraft lubricants and in hydraulic fluids. Bis(2-ethylhexyl)adipate contaminates drinking water through discharge from chemical factories.</t>
  </si>
  <si>
    <t>Bis(2-ethylhexyl)phthalate</t>
  </si>
  <si>
    <t>bis(2-ethylhexyl)phthalate</t>
  </si>
  <si>
    <t>117-81-7</t>
  </si>
  <si>
    <t>BJQHLKABXJIVAM-UHFFFAOYSA-N</t>
  </si>
  <si>
    <t>Bis(2-ethylhexyl)phthalate is a synthetic organic compound widely used as a plasticizer to increase flexibility in plastics, particularly in polyvinyl chloride (PVC). It is also used as a hydraulic fluid and dielectric fluid in electrical capacitors. Bis(2-ethylhexyl)phthalate contaminates drinking water through discharge from chemical factories.</t>
  </si>
  <si>
    <t>Bromate</t>
  </si>
  <si>
    <t>bromate</t>
  </si>
  <si>
    <t>15541-45-4</t>
  </si>
  <si>
    <t>SXDBWCPKPHAZSM-UHFFFAOYSA-M</t>
  </si>
  <si>
    <t>Inorganic compound</t>
  </si>
  <si>
    <t>Bromate is an ion composed of bromine and oxygen. Bromate-containing compounds have a variety of uses, but it is present in drinking water most commonly as a disinfection byproduct produced by reaction of ozone, used as an anti-microbial treatment, with naturally occurring bromide.</t>
  </si>
  <si>
    <t>Bromide</t>
  </si>
  <si>
    <t>bromide</t>
  </si>
  <si>
    <t>24959-67-9</t>
  </si>
  <si>
    <t>CPELXLSAUQHCOX-UHFFFAOYSA-M</t>
  </si>
  <si>
    <t>Nonmetal</t>
  </si>
  <si>
    <t>Halogen</t>
  </si>
  <si>
    <t>Bromide is the anionic (negatively charged) form of bromine, a chemical element and halogen. It is most commonly found in seawater, some fossil fuels, and some relatively rarae minerals. In coastal regions, bromide levels in groundwater are usually higher than in inland areas, owing to seawater intrusion into the groundwater aquifer. Bromide in a water source can form bromine-containing disinfection byproducts when water is treated with an oxidizer such as free chlorine to kill microbes.</t>
  </si>
  <si>
    <t>Bromobenzene</t>
  </si>
  <si>
    <t>bromobenzene</t>
  </si>
  <si>
    <t>PhBr | monobromobenzene | phenyl bromide</t>
  </si>
  <si>
    <t>108-86-1</t>
  </si>
  <si>
    <t>QARVLSVVCXYDNA-UHFFFAOYSA-N</t>
  </si>
  <si>
    <t>Bromobenzene is an organic compound commonly used as a solvent for large scale crystallization and as a reagent in organic synthesis. It is mainly found in chemical laboratories and industrial manufacturing processes, and is used in the production of pharmaceuticals and other organic chemicals.</t>
  </si>
  <si>
    <t>Bromochloromethane</t>
  </si>
  <si>
    <t>bromochloromethane</t>
  </si>
  <si>
    <t>CB | CBM | Chlorobromomethane | Fluorocarbon 1011 | Halon 1011 | Methyl chlorobromide | chloromethyl bromide | monochloromonobromomethane</t>
  </si>
  <si>
    <t>74-97-5</t>
  </si>
  <si>
    <t>JPOXNPPZZKNXOV-UHFFFAOYSA-N</t>
  </si>
  <si>
    <t>Linear</t>
  </si>
  <si>
    <t>Bromochloromethane is a synthetic organic compound that is primarily used as a fire-extinguishing agent, as a solvent, and as an intermediate in the manufacture of some insecticides. It is mainly found in industrial fire protection systems and equipment. </t>
  </si>
  <si>
    <t>Bromodichloromethane</t>
  </si>
  <si>
    <t>bromodichloromethane</t>
  </si>
  <si>
    <t>75-27-4</t>
  </si>
  <si>
    <t>FMWLUWPQPKEARP-UHFFFAOYSA-N</t>
  </si>
  <si>
    <t>MCL as a class, see TTHMs</t>
  </si>
  <si>
    <t>Bromodichloromethane is a synthetic organic compound and trihalomethane commonly formed as a disinfection byproduct when chlorine is used to treat water. It is also used as a reagent and intermediate in organic synthesis, as a fire extinguishing agent, a solvent for fats, waxes, and resins, and as a heavy liquid for mineral and salt separations.</t>
  </si>
  <si>
    <t>Bromoform</t>
  </si>
  <si>
    <t>bromoform</t>
  </si>
  <si>
    <t>tribromomethane</t>
  </si>
  <si>
    <t>75-25-2</t>
  </si>
  <si>
    <t>DIKBFYAXUHHXCS-UHFFFAOYSA-N</t>
  </si>
  <si>
    <t>Bromoform is an organic compound and trihalomethane formed naturally by marine algae. It has been used as a solvent for waxes and oils, and in shipbuilding, aircraft, and aerospace industries and as a fire-suppressing chemical in fire extinguishers. In drinking water, bromoform is produced as a disinfection byproduct when certain disinfectants react with bromide naturally present in the source water.</t>
  </si>
  <si>
    <t>Bromomethane</t>
  </si>
  <si>
    <t>bromomethane</t>
  </si>
  <si>
    <t>Embafume | Halon 1001 | methyl bromide</t>
  </si>
  <si>
    <t>74-83-9</t>
  </si>
  <si>
    <t>GZUXJHMPEANEGY-UHFFFAOYSA-N</t>
  </si>
  <si>
    <t>Bromomethane is an organic compound produced naturally in small amounts by algae and kelp, and it is widely used as a soil fumigant and pesticide in agriculture. It is also used in industrial applications including chemical synthesis and as a refrigerant and fire extinguishing agent</t>
  </si>
  <si>
    <t>2-Butanone</t>
  </si>
  <si>
    <t>butanone, 2-</t>
  </si>
  <si>
    <t>2-butanone | methyl ethyl ketone | MEK | butan-2-one | ethyl methyl ketone | methyl acetone | oxobutane</t>
  </si>
  <si>
    <t>78-93-3</t>
  </si>
  <si>
    <t>ZWEHNKRNPOVVGH-UHFFFAOYSA-N</t>
  </si>
  <si>
    <t>2-butanone is a common organic solvent used in processes involving gums, resins, cellulose materials, and surface coatings, and found in products like paints, varnishes, adhesives, and cleaning agents. It is also used in the synthetic rubber, plastics, and textiles industries, and for degreasing and oil extraction applications.</t>
  </si>
  <si>
    <t>n-Butylbenzene</t>
  </si>
  <si>
    <t>butylbenzene, n-</t>
  </si>
  <si>
    <t>1-phenylbutane | butylbenzene</t>
  </si>
  <si>
    <t>104-51-8</t>
  </si>
  <si>
    <t>OCKPCBLVNKHBMX-UHFFFAOYSA-N</t>
  </si>
  <si>
    <t>Alkylated</t>
  </si>
  <si>
    <t>n-butylbenzene is a C10 aromatic hydrocarbon used in organic synthesis (including pesticide manufacturing), as a solvent for coating materials, and as a plasticizer, surface active agent, and polymer linking agent in plastic production. It is commonly found in asphalt and naphtha.</t>
  </si>
  <si>
    <t>sec-Butylbenzene</t>
  </si>
  <si>
    <t>butylbenzene, s-</t>
  </si>
  <si>
    <t>(1-Methylpropyl)benzene | 2-Phenylbutane | s-butylbenzene | secondary butylbenzene</t>
  </si>
  <si>
    <t>135-98-8</t>
  </si>
  <si>
    <t>ZJMWRROPUADPEA-UHFFFAOYSA-N</t>
  </si>
  <si>
    <t>sec-butylbenzene is a C10 aromatic hydrocarbon used in organic synthesis, as a solvent for coating materials, and as a plasticizer and surface active agent. It can be found in crude oil, vehicle emissions, ambient air, and may be released heated plastics.</t>
  </si>
  <si>
    <t>tert-Butylbenzene</t>
  </si>
  <si>
    <t>butylbenzene, t-</t>
  </si>
  <si>
    <t>tertiary butylbenzene | t-butylbenzene | 1,1-dimethylethylbenzene</t>
  </si>
  <si>
    <t>98-06-6</t>
  </si>
  <si>
    <t>YTZKOQUCBOVLHL-UHFFFAOYSA-N</t>
  </si>
  <si>
    <t>tert-butylbenzene is a C10 aromatic hydrocarbon used as a solvent and polymer-linking agent in organic synthesis. It has also been found in landfill gas.</t>
  </si>
  <si>
    <t>Cadmium</t>
  </si>
  <si>
    <t>cadmium</t>
  </si>
  <si>
    <t>7440-43-9</t>
  </si>
  <si>
    <t>BDOSMKKIYDKNTQ-UHFFFAOYSA-N</t>
  </si>
  <si>
    <t>Transition metal (group 12)</t>
  </si>
  <si>
    <t>Cadmium is a chemical element and metal used in electroplating, pigments, batteries, plastics, and corrosion-resistant coatings. It is also used in alloys, solders, Ni-Cd batteries, and nuclear reactor control systems, and can be released into the air through fossil fuel burning and waste incineration. Cadmium can be released into drinking water by corrosion of galvanized piping, erosion of natural minerals, and industrial discharge (metal refining, waste batteries &amp; paints).</t>
  </si>
  <si>
    <t>Calcium</t>
  </si>
  <si>
    <t>calcium</t>
  </si>
  <si>
    <t>14127-61-8 | 7440-70-2</t>
  </si>
  <si>
    <t>BHPQYMZQTOCNFJ-UHFFFAOYSA-N</t>
  </si>
  <si>
    <t>Calcium is a chemical element and metal. It is the fifth most abundant element in the earth’s crust and is a major component of many rocks and minerals, including the minerals that make up the shells of shellfish and the exoskeletons of corals. Calcium is an essential dietary mineral and is one of the water components that cause “hard” water. Evidence suggests that elevated calcium in drinking water may actually be beneficial to human health. Calcium in drinking water comes from the erosion of natural calcium-containing minerals.</t>
  </si>
  <si>
    <t>Carbon tetrachloride</t>
  </si>
  <si>
    <t>carbon tetrachloride</t>
  </si>
  <si>
    <t>carbon chloride | carbon tet | F10 | Freon 10 | Halon 104 |methane tetrachloride | Necatorina | perchloromethane | R10 | Refrigerant R10 | Tetra | Tetrachloromethane | Tetrasol | Thawpit | Univerm | Vermoestricid | tetrachloridocarbon</t>
  </si>
  <si>
    <t>56-23-5</t>
  </si>
  <si>
    <t>VZGDMQKNWNREIO-UHFFFAOYSA-N</t>
  </si>
  <si>
    <t>Carbon tetrachloride is a chemical compound that is an excellent solvent and was consequently used in a wide variety of applications; used broadly as a solvent, it is also non-flammable and was used as a fire extinguishing fluid, it also found use as a grain fumigant. Owing to its toxicity and environmental impact, especially its ozone-depleting nature, its use today has been greatly curtailed and continuing uses are highly regulated. It is used in the production of refrigerants and as a blowing agent. Carbon tetrachloride contaminantes drinking water through discharge from industrial activities.</t>
  </si>
  <si>
    <t>Chlorate</t>
  </si>
  <si>
    <t>chlorate</t>
  </si>
  <si>
    <t>14866-68-3</t>
  </si>
  <si>
    <t>XTEGARKTQYYJKE-UHFFFAOYSA-M</t>
  </si>
  <si>
    <t>Chlorate is an ion composed of chlorine and oxygen. It occurs naturally in some minerals and is used in a variety of  Chlorate-containing compounds have a variety of uses, but it is present in drinking water most commonly as a disinfection byproduct produced from the use of chlorine dioxide as an anti-microbial water treatment.</t>
  </si>
  <si>
    <t>alpha-Chlordane</t>
  </si>
  <si>
    <t>Chlordane, α-</t>
  </si>
  <si>
    <t>chlordane, cis- | chlordane, α-</t>
  </si>
  <si>
    <t>5103-71-9</t>
  </si>
  <si>
    <t>BIWJNBZANLAXMG-IQEDOFJGSA-N</t>
  </si>
  <si>
    <t>Alkene</t>
  </si>
  <si>
    <t>Cyclic</t>
  </si>
  <si>
    <t>Component of chlordane, which is the regulated pollutant</t>
  </si>
  <si>
    <t>alpha-chlordane is a synthetic compound and component of the pesticide chlordane. It was primarily used to control termites, agricultural pests, and household insects, but is now banned and restricted from use in the United States. Chlordane residue is highly persistent in the environment and is still found contaminating some drinking water sources today despite having been banned since 1988.</t>
  </si>
  <si>
    <t>Pure compound, not to be confused with chlordane as a product, which contains chlordane, heptachlor, and nonachlor</t>
  </si>
  <si>
    <t>gamma-Chlordane</t>
  </si>
  <si>
    <t>5103-74-2</t>
  </si>
  <si>
    <t>JBZJEPYXXVKOKF-UHFFFAOYSA-N</t>
  </si>
  <si>
    <t>gamma-chlordane is a synthetic organochlorine compound and component of the pesticide chlordane. It was primarily used to control termites, agricultural pests, and household insects, but it is now banned or limited to very restricted use and is no longer produced for commercial use in the United States. Chlordane residue is highly persistent in the environment and is still found contaminating some drinking water sources today despite having been banned since 1988.</t>
  </si>
  <si>
    <t>Chloride</t>
  </si>
  <si>
    <t>chloride</t>
  </si>
  <si>
    <t>Chloride is the anionic (negatively charged) form of chlorine, a chemical element and halogen. It is a common ion found in rocks, soils, and is the major component of dietary salt (sodium chloride), which is the salt found in the ocean. Chloride is found in road salt and a large number of industrial and commercial chemicals. Chloride can be introduced into drinking water by dissolution of natural mineral deposits, infiltration of seawater into a well, and discharge from industrial processes or sewage. Chloride is naturally present in drinking water systems treated with free chlorine, which produces chloride as a product of certain reactions. Some other water treatment chemicals, including some water softener salts, also contain chloride. Elevated chloride in water may contribute to a salty taste.</t>
  </si>
  <si>
    <t>Free chlorine</t>
  </si>
  <si>
    <t>chlorine, free</t>
  </si>
  <si>
    <t>MRDL(G), not MCL(G)</t>
  </si>
  <si>
    <t>Chlorine is added to drinking water to kill microbes that can cause disease. Excessive chlorine can be hazardous both directly and through increased disinfection byproduct formation.</t>
  </si>
  <si>
    <t>Chlorite</t>
  </si>
  <si>
    <t>chlorite</t>
  </si>
  <si>
    <t>14998-27-7</t>
  </si>
  <si>
    <t>QBWCMBCROVPCKQ-UHFFFAOYSA-M</t>
  </si>
  <si>
    <t>Chlorite is an ion composed of chlorine and oxygen. It is used as a precursor to chlorine dioxide, which is used in water disinfection, and produced as a disinfection byproduct when chlorine dioxide is used to treat water. Note: While the term “chlorite” is also used to describe a group of minerals, these minerals do not contain any form of chlorine and are instead named for their green color (from the Greek chloros, meaning “green”).</t>
  </si>
  <si>
    <t>Chlorobenzene</t>
  </si>
  <si>
    <t>chlorobenzene</t>
  </si>
  <si>
    <t>MCB | PhCl | benzene chloride | phenyl chloride</t>
  </si>
  <si>
    <t>108-90-7</t>
  </si>
  <si>
    <t>MVPPADPHJFYWMZ-UHFFFAOYSA-N</t>
  </si>
  <si>
    <t>Chlorobenzene is a synthetic organic chemical compound used mainly as an industrial solvent and as an intermediate in the production of pesticides, herbicides, coatings such as bitumen and asphalt, and as an intermediate in the production of dyes, rubber, and pharmaceuticals. Chlorobenzene can contaminate drinking water sources through discharge from chemical factories.</t>
  </si>
  <si>
    <t>Chloroethane</t>
  </si>
  <si>
    <t>chloroethane</t>
  </si>
  <si>
    <t>ethyl chloride | monochloroethane</t>
  </si>
  <si>
    <t>75-00-3</t>
  </si>
  <si>
    <t>HRYZWHHZPQKTII-UHFFFAOYSA-N</t>
  </si>
  <si>
    <t>Chloroethane is a synthetic chlorinated hydrocarbon used as an industrial chemical intermediate and formerly used as a refrigerant and aerosol propellant. It is used as a solvent and in the manufacture of dyes, chemicals and foamed plastics.</t>
  </si>
  <si>
    <t>Vinyl chloride</t>
  </si>
  <si>
    <t>chloroethene</t>
  </si>
  <si>
    <t>VC | VCM | chloroethene | chloroethylene</t>
  </si>
  <si>
    <t>75-01-4</t>
  </si>
  <si>
    <t>BZHJMEDXRYGGRV-UHFFFAOYSA-N</t>
  </si>
  <si>
    <t>Vinyl chloride is a synthetic organic chemical compound used primarily as a chemical intermediate in the production of polyvinyl chloride (PVC), a material used in automotive parts, packaging, plumbing, furniture, and construction materials. Contamination of drinking water by vinyl chloride occurs by leaching from PVC pipes and discharge from plastic factories. Vinyl chloride has recently been in the public eye as a result of the 2023 East Palestine, OH train derailment.</t>
  </si>
  <si>
    <t>Chloroform</t>
  </si>
  <si>
    <t>chloroform</t>
  </si>
  <si>
    <t>trichloromethane | Freon 20 | Refrigerant 20</t>
  </si>
  <si>
    <t>67-66-3</t>
  </si>
  <si>
    <t>HEDRZPFGACZZDS-UHFFFAOYSA-N</t>
  </si>
  <si>
    <t>Chloroform is a synthetic organic compound used as an industrial solvent and as an intermediate in the production of refrigerants and fluoropolymers. It is mainly used in controlled industrial processes including chemical manufacturing and laboratory applications. Chloroform is also formed as a disinfection byproduct when chlorine in the drinking water system reacts with dissolved organic matter.</t>
  </si>
  <si>
    <t>Chloromethane</t>
  </si>
  <si>
    <t>chloromethane</t>
  </si>
  <si>
    <t>R-40 | chloromethane | methyl chloride</t>
  </si>
  <si>
    <t>74-87-3</t>
  </si>
  <si>
    <t>NEHMKBQYUWJMIP-UHFFFAOYSA-N</t>
  </si>
  <si>
    <t>Chloromethane is a volatile organic compound primarily used as a chemical intermediate in the production of silicones and methylcellulose. It is also used in extraction of greases, oils, and resins, and as a herbicide</t>
  </si>
  <si>
    <t>2-Chlorotoluene</t>
  </si>
  <si>
    <t>chlorotoluene, 2-</t>
  </si>
  <si>
    <t>2-chloro-1-methylbenzene | o-chlorotoluene | o-tolyl chloride</t>
  </si>
  <si>
    <t>95-49-8</t>
  </si>
  <si>
    <t>IBSQPLPBRSHTTG-UHFFFAOYSA-N</t>
  </si>
  <si>
    <t>2-chlorotoluene is a chlorinated hydrocarbon used as a chemical intermediate and as a solvent in the manufacturing of agrochemicals such as dye production, pesticides, and household draining products.</t>
  </si>
  <si>
    <t>4-Chlorotoluene</t>
  </si>
  <si>
    <t>chlorotoluene, 4-</t>
  </si>
  <si>
    <t>p-chlorotoluene | 3-chloro-1-methylbenzene | p-tolyl chloride</t>
  </si>
  <si>
    <t>106-43-4</t>
  </si>
  <si>
    <t>NPDACUSDTOMAMK-UHFFFAOYSA-N</t>
  </si>
  <si>
    <t>4-chlorotoluene is a chlorinated hydrocarbon used as an intermediate in the manufacturing of dyes, pesticides and pharmaceutical compounds. It is also used as a solvent in coatings such as paints, varnishes, lacquers, and sealants.</t>
  </si>
  <si>
    <t>Chromium</t>
  </si>
  <si>
    <t>chromium</t>
  </si>
  <si>
    <t>16065-83-1 | 18540-29-9 | 7440-47-3</t>
  </si>
  <si>
    <t>BFGKITSFLPAWGI-UHFFFAOYSA-N | JOPOVCBBYLSVDA-UHFFFAOYSA-N</t>
  </si>
  <si>
    <t>Transition metal (group 6)</t>
  </si>
  <si>
    <t>Chromium is a chemical element and metal. It is primarily used in stainless steel and “chrome plating” of other metals. Chromium is also used in leather tanning, ceramics &amp; glasses, photography, fungicides, and certain catalysts. Chromium in drinking water occurs as one of two ions, Cr(III) with 3+ charge and Cr(VI) with a 6+ charge. Cr(III) is a non-toxic dietary mineral found naturally in many foods. Cr(VI) is hazardous to human health, occurring naturally in certain minerals and artificially as a result of industrial activity.</t>
  </si>
  <si>
    <t>Chrysene</t>
  </si>
  <si>
    <t>chrysene</t>
  </si>
  <si>
    <t>benzophenanthrene, 1,2- | benzo[a]phenanthrene</t>
  </si>
  <si>
    <t>218-01-9</t>
  </si>
  <si>
    <t>WDECIBYCCFPHNR-UHFFFAOYSA-N</t>
  </si>
  <si>
    <t>Chrysene is a diesel range polycyclic aromatic hydrocarbon (PAH) found in coal tar and formed as a byproduct of incomplete combustion of organic materials. It is primarily used as a research chemical and as a component of creosote.</t>
  </si>
  <si>
    <t>Conductivity</t>
  </si>
  <si>
    <t>conductivity</t>
  </si>
  <si>
    <t>Non-compound measurement</t>
  </si>
  <si>
    <t>Conductivity is a measurement of the ability of a water sample to pass electrical current, which is related to the amount of charged particles (ions) present in the water. Because conductivity can be measured very inexpensively, it is a good screening measurement that can indicate the presence of elevated salts, acids, or other charged contaminants. A conductivity measurement can not detect a specific contaminant but can indicate the need for further testing and water treatment.</t>
  </si>
  <si>
    <t>Copper</t>
  </si>
  <si>
    <t>copper</t>
  </si>
  <si>
    <t>7440-50-8</t>
  </si>
  <si>
    <t>RYGMFSIKBFXOCR-UHFFFAOYSA-N</t>
  </si>
  <si>
    <t>Transition metal (group 11)</t>
  </si>
  <si>
    <t>TT, AL = 1.3</t>
  </si>
  <si>
    <t>AL = 1.3</t>
  </si>
  <si>
    <t>Copper is a chemical element and metal that is widely used in electrical wiring and plumbing. It is also used in alloys, coatings and can be released into the environment through mining, smelting and industrial processes. Copper in drinking water is most often present due to corrosion of copper piping or erosion of natural minerals. </t>
  </si>
  <si>
    <t>1,2-Dibromo-3-chloropropane</t>
  </si>
  <si>
    <t>dibromo-3-chloropropane, 1,2-</t>
  </si>
  <si>
    <t>DBCP | dibromochloropropane</t>
  </si>
  <si>
    <t>96-12-8</t>
  </si>
  <si>
    <t>WBEJYOJJBDISQU-UHFFFAOYSA-N</t>
  </si>
  <si>
    <t>1,2-dibromo-3-chloropropane is an organic compound that was widely used as a soil fumigant in agriculture to control nematodes. Its usage has been discontinued due to health risk, except as an intermediate in chemical synthesis. DBCP can still be found in drinking water as a result of persistent residue from historical agricultural operations. On Oʻahu, DBCP was used as a nematocide in pineapple plantations from the 1940s to 1980s. It is commonly found in groundwater in former agricultural areas and is removed by filtration with granular activated carbon (GAC).</t>
  </si>
  <si>
    <t>Dibromoacetic acid</t>
  </si>
  <si>
    <t>dibromoacetic acid</t>
  </si>
  <si>
    <t>See total haloacetic acids</t>
  </si>
  <si>
    <t>Dibromochloromethane</t>
  </si>
  <si>
    <t>dibromochloromethane</t>
  </si>
  <si>
    <t>chlorodibromomethane | DBCM</t>
  </si>
  <si>
    <t>124-48-1</t>
  </si>
  <si>
    <t>GATVIKZLVQHOMN-UHFFFAOYSA-N</t>
  </si>
  <si>
    <t>Dibromochloromethane is an organic compound formed as a disinfection byproduct when chlorine reacts with natural organic matter in source water. It is also used as a laboratory reagent, and formerly was used as a flame retardant and chemical intermediate.</t>
  </si>
  <si>
    <t>1,2-Dibromoethane (EDB)</t>
  </si>
  <si>
    <t>dibromoethane, 1,2- (EDB)</t>
  </si>
  <si>
    <t>DBE | EDB | ethylene dibromide | sym-dibromoethane</t>
  </si>
  <si>
    <t>106-93-4</t>
  </si>
  <si>
    <t>PAAZPARNPHGIKF-UHFFFAOYSA-N</t>
  </si>
  <si>
    <t>1,2-dibromoethane is a synthetic hydrocarbon that was widely used as a soil fumigant and as an additive to leaded gasoline. It is currently used as a pesticide and as an intermediate for dyes, resins, waxes and gums. The principal source of drinking water contamination is discharge from petroleum refineries.</t>
  </si>
  <si>
    <t>Dibromomethane</t>
  </si>
  <si>
    <t>dibromomethane</t>
  </si>
  <si>
    <t>methylene dibromide</t>
  </si>
  <si>
    <t>74-95-3</t>
  </si>
  <si>
    <t>FJBFPHVGVWTDIP-UHFFFAOYSA-N</t>
  </si>
  <si>
    <t>Dibromomethane is an organic compound used as a solvent, in fire extinguishing fluids, and in chemical synthesis. It occurs naturally in ocean environments where it is produced by marine algae.</t>
  </si>
  <si>
    <t>Dichloroacetic acid</t>
  </si>
  <si>
    <t>dichloroacetic acid</t>
  </si>
  <si>
    <t>o-Dichlorobenzene</t>
  </si>
  <si>
    <t>dichlorobenzene, 1,2-</t>
  </si>
  <si>
    <t>1,2-dichlorobenzene | ODCB</t>
  </si>
  <si>
    <t>95-50-1</t>
  </si>
  <si>
    <t>RFFLAFLAYFXFSW-UHFFFAOYSA-N</t>
  </si>
  <si>
    <t>o-dichlorobenzene is a chlorinated hydrocarbon used as a chemical intermediate, solvent in industrial processes, and in the production of insecticides and deodorizing products. It is used in lubricants, greases, paints, and coatings. o-dichlorobenzene contaminates drinking water through discharge from chemical factories.</t>
  </si>
  <si>
    <t>m-Dichlorobenzene</t>
  </si>
  <si>
    <t>dichlorobenzene, 1,3-</t>
  </si>
  <si>
    <t>1,3-dichlorobenzene</t>
  </si>
  <si>
    <t>541-73-1</t>
  </si>
  <si>
    <t>ZPQOPVIELGIULI-UHFFFAOYSA-N</t>
  </si>
  <si>
    <t>m-dichlorobenzene is a chlorinated hydrocarbon used mainly as a chemical intermediate in the manufacturing of herbicides, insecticides, dyes and other industrial chemicals. </t>
  </si>
  <si>
    <t>p-Dichlorobenzene</t>
  </si>
  <si>
    <t>dichlorobenzene, 1,4-</t>
  </si>
  <si>
    <t>PARA | PDCB | 1,4-dichlorobenzene</t>
  </si>
  <si>
    <t>106-46-7</t>
  </si>
  <si>
    <t>OCJBOOLMMGQPQU-UHFFFAOYSA-N</t>
  </si>
  <si>
    <t>p-dichlorobenzene is a chlorinated hydrocarbon commonly used in mothballs and deodorizer blocks. It is also used as a chemical intermediate in the production of pesticides, dyes and other industrial products. p-dichlorobenzene contaminates drinking water through discharge from chemical factories.</t>
  </si>
  <si>
    <t>Dichlorodifluoromethane (Freon 12)</t>
  </si>
  <si>
    <t>dichlorodifluoromethane</t>
  </si>
  <si>
    <t>CFC-12 | Difluorodichloromethane | Fluorocarbon 12 | Freon 12 | Genetron 12 | Halon 122 | Propellant 12 | R-12 | Refrigerant 12</t>
  </si>
  <si>
    <t>75-71-8</t>
  </si>
  <si>
    <t>PXBRQCKWGAHEHS-UHFFFAOYSA-N</t>
  </si>
  <si>
    <t>Dichlorodifluoromethane is a synthetic chlorofluorocarbon compound used mainly as a refrigerant in air conditioners and refrigerators, an aerosol propellant, and a blowing agent in foam manufacturing. </t>
  </si>
  <si>
    <t>1,1-Dichloroethane</t>
  </si>
  <si>
    <t>dichloroethane, 1,1-</t>
  </si>
  <si>
    <t>1,1-Ethylidene dichloride | Asymmetrical dichloroethane | CFC-150a | ethylidene dichloride</t>
  </si>
  <si>
    <t>75-34-3</t>
  </si>
  <si>
    <t>SCYULBFZEHDVBN-UHFFFAOYSA-N</t>
  </si>
  <si>
    <t>1,1-dichloroethane is a synthetic chlorinated hydrocarbon used mainly as a solvent and a chemical intermediate in the production of plastics, oils, cleaning agents, and other industrial chemicals. It is also used as an insecticide spray, and as a solvent for paints and varnishes.</t>
  </si>
  <si>
    <t>1,2-Dichloroethane</t>
  </si>
  <si>
    <t>dichloroethane, 1,2-</t>
  </si>
  <si>
    <t>1,2-DCE | DCA | DCE | EDC | alpha,beta-dichloroethane | ethane dichloride | ethylene dichloride</t>
  </si>
  <si>
    <t>107-06-2</t>
  </si>
  <si>
    <t>WSLDOOZREJYCGB-UHFFFAOYSA-N</t>
  </si>
  <si>
    <t>1,2-dichloroethane is a synthetic chlorinated hydrocarbon mainly used in the production of vinyl chloride and other chemicals. It is also used as a solvent in degreasing applications, cleaning products, and industrial chemical processes. 1,2-dichloroethane contaminates drinking water through discharge from chemical factories.</t>
  </si>
  <si>
    <t>1,1-Dichloroethene</t>
  </si>
  <si>
    <t>dichloroethene, 1,1-</t>
  </si>
  <si>
    <t>75-35-4</t>
  </si>
  <si>
    <t>LGXVIGDEPROXKC-UHFFFAOYSA-N</t>
  </si>
  <si>
    <t>1,1-dichloroethylene is a synthetic organic chemical used in the production of polymers and high purity silica films.</t>
  </si>
  <si>
    <t>cis-1,2-Dichloroethene</t>
  </si>
  <si>
    <t>dichloroethene, cis-1,2-</t>
  </si>
  <si>
    <t>156-59-2</t>
  </si>
  <si>
    <t>KFUSEUYYWQURPO-UPHRSURJSA-N</t>
  </si>
  <si>
    <t>cis-1,2-dichloroethene is a synthetic chlorinated hydrocarbon  commonly formed through breakdown of other halogenated hydrocarbons in waste water and anaerobic groundwater. It is mainly used as a solvent in the extraction of oils, resins and lacquers, and it is also a chemical intermediate. cis-1,2-dichloroethene contaminates drinking water through discharge from chemical factories.</t>
  </si>
  <si>
    <t>Total 1,2-dichloroethene</t>
  </si>
  <si>
    <t>dichloroethene, total 1,2-</t>
  </si>
  <si>
    <t>Mixture of cis- and trans-1,2-dichloroethene - see individual compounds for source information.</t>
  </si>
  <si>
    <t>trans-1,2-Dichloroethene</t>
  </si>
  <si>
    <t>dichloroethene, trans-1,2-</t>
  </si>
  <si>
    <t>156-60-5</t>
  </si>
  <si>
    <t>KFUSEUYYWQURPO-OWOJBTEDSA-N</t>
  </si>
  <si>
    <t>trans-1,2-dichloroethene is a synthetic chlorinated hydrocarbon used as a solvent for extracting oils, fats, and resins and in cleaning and degreasing industrial materials. trans-1,2-dichloroethene contaminates drinking water through discharge from chemical factories.</t>
  </si>
  <si>
    <t>1,2-Dichloropropane</t>
  </si>
  <si>
    <t>dichloropropane, 1,2-</t>
  </si>
  <si>
    <t>78-87-5</t>
  </si>
  <si>
    <t>KNKRKFALVUDBJE-UHFFFAOYSA-N</t>
  </si>
  <si>
    <t>1,2-dichloropropane is an organic compound produced as a byproduct of the production of epichlorohydrin. It is used as a chemical intermediate in the production of other organic chemicals, as an industrial solvent, and in petroleum processing.</t>
  </si>
  <si>
    <t>1,3-Dichloropropane</t>
  </si>
  <si>
    <t>dichloropropane, 1,3-</t>
  </si>
  <si>
    <t>142-28-9</t>
  </si>
  <si>
    <t>YHRUOJUYPBUZOS-UHFFFAOYSA-N</t>
  </si>
  <si>
    <t>Contaminant</t>
  </si>
  <si>
    <t>1,3-dichloropropane is a synthetic volatile organic compound that is found as a contaminant in soil fumigants containing 1,3-dichloropropene. It has no known uses or intentional production.</t>
  </si>
  <si>
    <t>2,2-Dichloropropane</t>
  </si>
  <si>
    <t>dichloropropane, 2,2-</t>
  </si>
  <si>
    <t>dimethyldichloromethane</t>
  </si>
  <si>
    <t>594-20-7</t>
  </si>
  <si>
    <t>ZEOVXNVKXIPWMS-UHFFFAOYSA-N</t>
  </si>
  <si>
    <t>2,2-dichloropropane is a chlorinated organic compound used as a solvent for pesticides in agriculture and as an industrial solvent. It is also used in organic synthesis and in isomerization catalyst processes saturated hydrocarbons.</t>
  </si>
  <si>
    <t>1,1-Dichloropropene</t>
  </si>
  <si>
    <t>dichloropropene, 1,1-</t>
  </si>
  <si>
    <t>563-58-6</t>
  </si>
  <si>
    <t>ZAIDIVBQUMFXEC-UHFFFAOYSA-N</t>
  </si>
  <si>
    <t>1,1-dichloropropene is a synthetic volatile organic compound. Minimal information is available on its uses. The USEPA investigated regulation of this compound in the early 2000s after environmental data collected nationwide in the late 1990s found that it was present in at least some drinking water sources. However, no regulation was ever promulgated and the compound was dropped from further consideration after 2008.</t>
  </si>
  <si>
    <t>1,3-Dichloropropene, Total</t>
  </si>
  <si>
    <t>dichloropropene, 1,3-</t>
  </si>
  <si>
    <t>AQL Agrocelhone, DD92, 1,3-D, Dorlone, Nematox, Telone, Nemex, Di-Trapex CP, Vorlex 201, chloroallylchloride, DCP</t>
  </si>
  <si>
    <t>542-75-6</t>
  </si>
  <si>
    <t>NA</t>
  </si>
  <si>
    <t>1,3-dichloropropene is a synthetic volatile organic compound mainly used as a soil fumigant pesticide to control nematodes and other soil pests in agricultural settings. It is commonly applied before planting crops and may be released into the environment through agricultural use, spills and industrial handling. 1,3-dichloropropene consists of two isomers, cis-1,3-dichloropropene and trans-1,3-dichloropropene.</t>
  </si>
  <si>
    <t>cis-1,3-Dichloropropene</t>
  </si>
  <si>
    <t>dichloropropene, cis-1,3-</t>
  </si>
  <si>
    <t>(1Z)-1,3-Dichloro-1-propene</t>
  </si>
  <si>
    <t>10061-01-5</t>
  </si>
  <si>
    <t>UOORRWUZONOOLO-UPHRSURJSA-N</t>
  </si>
  <si>
    <t>cis-1,3-dichloropropene is a chlorinated organic compound and one isomer of 1,3-dichloropene. It is used mainly as a soil fumigant pesticide to control nematodes and other soil pests in agricultural settings.</t>
  </si>
  <si>
    <t>trans-1,3-Dichloropropene</t>
  </si>
  <si>
    <t>dichloropropene, trans-1,3-</t>
  </si>
  <si>
    <t>(1E)-1,3-Dichloro-1-propene</t>
  </si>
  <si>
    <t>10061-02-6</t>
  </si>
  <si>
    <t>UOORRWUZONOOLO-OWOJBTEDSA-N</t>
  </si>
  <si>
    <t>trans-1,3-dichloropropene is a chlorinated organic compound and one isomer of 1,3-dichloropropene. It is used mainly as a soil fumigant pesticide in agricultural settings.</t>
  </si>
  <si>
    <t>Di-isopropyl ether</t>
  </si>
  <si>
    <t>diisopropyl ether</t>
  </si>
  <si>
    <t>108-20-3</t>
  </si>
  <si>
    <t>ZAFNJMIOTHYJRJ-UHFFFAOYSA-N</t>
  </si>
  <si>
    <t>Diisopropyl ether is an organic ether compound used mainly as an industrial solvent and as an additive in gasoline to improve engine performance. It is also used in extraction processes and organic synthesis.</t>
  </si>
  <si>
    <t>Endrin</t>
  </si>
  <si>
    <t>Hexadrin</t>
  </si>
  <si>
    <t>72-20-8</t>
  </si>
  <si>
    <t>DFBKLUNHFCTMDC-GKRDHZSOSA-N</t>
  </si>
  <si>
    <t>Endrin is an organochlorine compound formerly used as a pesticide to control insects, rodents, and birds on agricultural crops such as cotton and grains. Its use has been banned or severely restricted in many countries due to its toxicity, but residue may persist in the environment and contaminate drinking water sources.</t>
  </si>
  <si>
    <t>Ethyl tert-butyl ether</t>
  </si>
  <si>
    <t>ethyl tert-butyl ether</t>
  </si>
  <si>
    <t>ETBE</t>
  </si>
  <si>
    <t>637-92-3</t>
  </si>
  <si>
    <t>NUMQCACRALPSHD-UHFFFAOYSA-N</t>
  </si>
  <si>
    <t>Ethyl tert-butyl ether is an organic compound used mainly as a gasoline additive to improve fuel combustion efficiency. It is also used as an oxygenate to increase gasoline octane levels.</t>
  </si>
  <si>
    <t>Ethylbenzene</t>
  </si>
  <si>
    <t>ethylbenzene</t>
  </si>
  <si>
    <t>100-41-4</t>
  </si>
  <si>
    <t>YNQLUTRBYVCPMQ-UHFFFAOYSA-N</t>
  </si>
  <si>
    <t>Ethylbenzene is a C8 (gasoline range) hydrocarbon found in a variety of petroleum products and used in the production of styrene. It is also used as an anti-knock agent in gasolines to increase octane rating and prevent engine knocking.</t>
  </si>
  <si>
    <t>Fluoranthene</t>
  </si>
  <si>
    <t>fluoranthene</t>
  </si>
  <si>
    <t>benzo[jk]fluorene</t>
  </si>
  <si>
    <t>206-44-0</t>
  </si>
  <si>
    <t>GVEPBJHOBDJJJI-UHFFFAOYSA-N</t>
  </si>
  <si>
    <t>Fluoranthene is a diesel range (C16) polycyclic aromatic hydrocarbon (PAH) found in fossil fuels and formed during incomplete combustion of organic materials. It is commonly found in coal, tar, creosote, asphalt, vehicle exhaust, cigarette smoke and has been used as a chemical intermediate in the production of dyes and pesticides. </t>
  </si>
  <si>
    <t>Fluorene</t>
  </si>
  <si>
    <t>fluorene</t>
  </si>
  <si>
    <t>9H-fluorene | o-biphenylenemethane</t>
  </si>
  <si>
    <t>86-73-7</t>
  </si>
  <si>
    <t>NIHNNTQXNPWCJQ-UHFFFAOYSA-N</t>
  </si>
  <si>
    <t>Fluorene is a diesel range (C13) polycyclic aromatic hydrocarbon (PAH) formed primarily during incomplete combustion and found in coal tar, crude oil and petroleum products. It is used in the production of dyes, pharmaceuticals, plastics and other specialty chemicals. Small amounts of fluorene have been reported in JP-5 jet fuel.</t>
  </si>
  <si>
    <t>Not to be confused with fluorine, chemical element, symbol F</t>
  </si>
  <si>
    <t>Fluoride</t>
  </si>
  <si>
    <t>fluoride</t>
  </si>
  <si>
    <t>16984-48-8</t>
  </si>
  <si>
    <t>KRHYYFGTRYWZRS-UHFFFAOYSA-M</t>
  </si>
  <si>
    <t>Fluoride is the anionic (negatively charged) form of fluorine, a chemical element and halogen. It is a common ion found in rocks and soils, and is commonly found in small amounts in drinking water sources due to erosion of natural deposits. Small amounts of fluoride are also added to drinking water by some utilities to promote dental health.</t>
  </si>
  <si>
    <t>Anion form of the chemical element fluorine, not to be confused with the PAH fluorene</t>
  </si>
  <si>
    <t>Freon 113</t>
  </si>
  <si>
    <t>1,1,2-trichloro-1,2,2-trifluoroethane | CFC-113 | TTE | chlorofluorocarbon-113 | freon 113 | halocarbon 113 | refrigerant 113 | trichlorotrifluoroethane</t>
  </si>
  <si>
    <t>76-13-1</t>
  </si>
  <si>
    <t>AJDIZQLSFPQPEY-UHFFFAOYSA-N</t>
  </si>
  <si>
    <t>Freon 113 is a synthetic chlorofluorocarbon (CFC) formerly used as an industrial solvent for cleaning and degreasing electronic components, metals, and precision equipment. It was also used in refrigeration and aerosol applications. Its use has been phased out due to its ozone-depleting effects.</t>
  </si>
  <si>
    <t>Heptachlor</t>
  </si>
  <si>
    <t>heptachlor</t>
  </si>
  <si>
    <t>1,4,5,6,7,8,8-Heptachloro-3a,4,7,7a-tetrahydro-4,7-methanoindene | 3-chlorochlordene | Heptachlorane | Heptamul</t>
  </si>
  <si>
    <t>76-44-8</t>
  </si>
  <si>
    <t>FRCCEHPWNOQAEU-UHFFFAOYSA-N</t>
  </si>
  <si>
    <t>Heptachlor is a synthetic organochlorine compound that was widely used to control soil insects, termites, ants, and agricultural pests on crops. Its use has been banned or severely restricted in many countries but residue may still be found in soil, sediments, and the environment, including drinking water sources, due to past applications.</t>
  </si>
  <si>
    <t>Heptachlor epoxide</t>
  </si>
  <si>
    <t>heptachlor epoxide</t>
  </si>
  <si>
    <t>epoxyheptachlor</t>
  </si>
  <si>
    <t>1024-57-3</t>
  </si>
  <si>
    <t>ZXFXBSWRVIQKOD-UOFFAGTMSA-N</t>
  </si>
  <si>
    <t>Heptachlor epoxide is a chlorinated organic compound formed when the pesticide heptachlor breaks down in the environment or within living organisms. It has no major commercial use of its own but is commonly found in soil, sediments, water and wildlife due to historical use of heptachlor and is highly persistent in the environment. </t>
  </si>
  <si>
    <t>Heterotrophic plate count</t>
  </si>
  <si>
    <t>heterotrophic plate count</t>
  </si>
  <si>
    <t>Heterotrophs are organisms that can not produce their own food and instead rely on consuming other food sources to survive. A heterotrophic plate count measurement is performed by placing a water sample on a petri dish (plate) containing a food source, incubating the plate for some time, and counting how many bacterial colonies form. This provides information about the number of live bacteria in the water, which can indicate whether pathogenic bacteria could be present.</t>
  </si>
  <si>
    <t>Hexachlorobutadiene</t>
  </si>
  <si>
    <t>hexachlorobutadiene</t>
  </si>
  <si>
    <t>HCBD | Hexachloro-1,3-butadiene | Perchlorobutadiene</t>
  </si>
  <si>
    <t>87-68-3</t>
  </si>
  <si>
    <t>RWNKSTSCBHKHTB-UHFFFAOYSA-N</t>
  </si>
  <si>
    <t>A (as industrial chemical), C (as unintentional production)</t>
  </si>
  <si>
    <t>Hexachlorobutadiene is a chlorinated organic compound commonly produced as a byproduct during the manufacture of chlorinated hydrocarbons. It has been used as an industrial solvent and is currently used in manufacture of rubber compounds and other chlorinated chemicals. </t>
  </si>
  <si>
    <t>gamma-BHC (Lindane)</t>
  </si>
  <si>
    <t>hexachlorocyclohexane, γ-</t>
  </si>
  <si>
    <t>gamma-hexachlorocyclohexane | gamma-HCH | gammaxene | Gammallin | benzene hexachloride</t>
  </si>
  <si>
    <t>608-73-1</t>
  </si>
  <si>
    <t>JLYXXMFPNIAWKQ-UHFFFAOYSA-N</t>
  </si>
  <si>
    <t>Lindane is a synthetic organochlorine insecticide that was used to control agricultural pests on crops and livestock and treat head lice and scabies in humans. Its agricultural use has been banned or restricted due to environmental and health concerns, but residue may persist in the environment and contaminate drinking water sources.</t>
  </si>
  <si>
    <t>Hexachlorocyclopentadiene</t>
  </si>
  <si>
    <t>hexachlorocyclopentadiene</t>
  </si>
  <si>
    <t>1,2,3,4,5,5-Hexachloro-1,3-cyclopentadiene | HCCPD | Perchlorocyclopentadiene</t>
  </si>
  <si>
    <t>77-47-4</t>
  </si>
  <si>
    <t>VUNCWTMEJYMOOR-UHFFFAOYSA-N</t>
  </si>
  <si>
    <t>Hexachlorocyclopentadiene is an organochlorine compound used primarily as a chemical intermediate in the manufacture of organochlorine pesticides, including aldrin, dieldrin, endrin, chlordane and heptachlor. Hexachlorocyclopentadiene contaminates drinking water through discharge from chemical factories and as residue in pesticide formulations.</t>
  </si>
  <si>
    <t>2-Hexanone</t>
  </si>
  <si>
    <t>hexanone, 2-</t>
  </si>
  <si>
    <t>MBK | Methyl butyl ketone</t>
  </si>
  <si>
    <t>591-78-6</t>
  </si>
  <si>
    <t>QQZOPKMRPOGIEB-UHFFFAOYSA-N</t>
  </si>
  <si>
    <t>2-hexanone is an organic compound primarily used as an industrial solvent in coatings, paints, adhesives, and chemical manufacturing processes. 2-hexanone can be released into the environment through industrial emissions, solvent use, spills, and waste disposal.</t>
  </si>
  <si>
    <t>Indeno (1,2,3-cd) pyrene</t>
  </si>
  <si>
    <t>indeno(1,2,3-cd)pyrene</t>
  </si>
  <si>
    <t>1,10-(o-phenylene)pyrene</t>
  </si>
  <si>
    <t>193-39-5</t>
  </si>
  <si>
    <t>SXQBHARYMNFBPS-UHFFFAOYSA-N</t>
  </si>
  <si>
    <t>Indeno[1,2,3-cd]pyrene is a diesel range (C22) polycyclic aromatic hydrocarbon (PAH) formed during incomplete combustion of organic materials. It is commonly found in vehicle exhaust, coal tar, soot, cigarette smoke and polluted air, water and soil. </t>
  </si>
  <si>
    <t>Iron</t>
  </si>
  <si>
    <t>iron</t>
  </si>
  <si>
    <t>15438-31-0 | 20074-52-6 | 7439-89-6</t>
  </si>
  <si>
    <t>CWYNVVGOOAEACU-UHFFFAOYSA-N | VTLYFUHAOXGGBS-UHFFFAOYSA-N</t>
  </si>
  <si>
    <t>Transition metal (group 8)</t>
  </si>
  <si>
    <t>Iron is a chemical element and metal. It is the fourth most abundant element in the earth’s crust and is a major component of many rocks and minerals, especially basalts like those that form the Hawaiian Islands. Iron is an important dietary mineral found in foods, especially red meats. Iron in drinking water can come from the erosion of iron-containing minerals, but also from the erosion of piping materials containing iron (especially cast iron). Excess iron can cause a metallic taste, a rusty color, red/orange staining of water-contact surfaces, and formation of sediments in plumbing.</t>
  </si>
  <si>
    <t>p-Isopropyltoluene</t>
  </si>
  <si>
    <t>isopropyltoluene, p-</t>
  </si>
  <si>
    <t>1-Methyl-4-(1-methylethyl)-benzene | 4-cymene | p-cymene p-isopropyltoluene</t>
  </si>
  <si>
    <t>99-87-6</t>
  </si>
  <si>
    <t>HFPZCAJZSCWRBC-UHFFFAOYSA-N</t>
  </si>
  <si>
    <t>p-isopropyltoluene is a C10 aromatic hydrocarbon found naturally in plants including cranberries, cumin and thyme. It is manufactured from petrochemical feedsticks through the alkylation of toluene with propylene. It is used as a solvent and chemical intermediate in the production of fragrances, metal polishes, thinners for lacquers/varnishes, synthetic resins, and other industrial chemicals. </t>
  </si>
  <si>
    <t>Lead</t>
  </si>
  <si>
    <t>lead</t>
  </si>
  <si>
    <t>7439-92-1</t>
  </si>
  <si>
    <t>WABPQHHGFIMREM-UHFFFAOYSA-N</t>
  </si>
  <si>
    <t>Post-transition metal, group 14</t>
  </si>
  <si>
    <t>TT, AL = 0.010</t>
  </si>
  <si>
    <t>AL = 0.015</t>
  </si>
  <si>
    <t>Lead is a chemical element and heavy metal primarily used in lead-acid batteries for vehicles and backup power systems. It is also used in ammunition, radiation shielding for medical and industrial applications, construction materials, cable coverings, solder and various metal products. The principal sources of lead contamination in drinking water are corrosion of lead piping and erosion of natural minerals.</t>
  </si>
  <si>
    <t>Magnesium</t>
  </si>
  <si>
    <t>magnesium</t>
  </si>
  <si>
    <t>22537-22-0 | 7439-95-4</t>
  </si>
  <si>
    <t>JLVVSXFLKOJNIY-UHFFFAOYSA-N</t>
  </si>
  <si>
    <t>Magnesium is a chemical element and metal. It is the seventh most abundant element in the earth’s crust and is a major component of many rocks and minerals. Magnesium is an essential dietary mineral and is one of the water components that cause “hard” water. Evidence suggests that elevated magnesium in drinking water may actually be beneficial to human health. Magnesium in drinking water comes from the erosion of natural magnesium-containing minerals.</t>
  </si>
  <si>
    <t>Manganese</t>
  </si>
  <si>
    <t>manganese</t>
  </si>
  <si>
    <t>Transition metal (group 7)</t>
  </si>
  <si>
    <t>Manganese is a chemical element and metal. It is a common component of minerals and is present in some drinking water treatment chemicals. Manganese is an essential dietary mineral and is also used in a number of industrial processes and products, including steels, fertilizers, batteries, cosmetics, and fireworks. Excessive manganese in drinking water can cause a black or brown color, black staining of water-contact surfaces, and a bitter metallic taste.</t>
  </si>
  <si>
    <t>Mercury</t>
  </si>
  <si>
    <t>mercury</t>
  </si>
  <si>
    <t>7439-97-6</t>
  </si>
  <si>
    <t>QSHDDOUJBYECFT-UHFFFAOYSA-N</t>
  </si>
  <si>
    <t>Only inorganic mercury is regulated</t>
  </si>
  <si>
    <t>Mercury is a chemical element and metal used in scientific and industrial instruments, electrical switches and relays, fluorescent and mercury-vapor lamps, and some manufacturing processes. It has also been used in thermometers, barometers, dental amalgams, and gold mining. The principal sources of mercury contamination in drinking water are discharges from industrial operations (refineries, factories, landfills, and croplands) and erosion of natural deposits.</t>
  </si>
  <si>
    <t>Methoxychlor</t>
  </si>
  <si>
    <t>methoxychlor</t>
  </si>
  <si>
    <t>DMDT | MXC | Methoxy-DDT | dimethoxy-DDT</t>
  </si>
  <si>
    <t>72-43-5</t>
  </si>
  <si>
    <t>IAKOZHOLGAGEJT-UHFFFAOYSA-N</t>
  </si>
  <si>
    <t>Methoxychlor is a synthetic organochlorine insecticide that was used to control flies, mosquitoes, roaches, and agricultural pests on crops, livestock, and domestic animals. It was commonly used in public health pest control, animal management, and agricultural programs prior to being banned in 2003. Residue may persist and contaminate drinking water sources.</t>
  </si>
  <si>
    <t>Methyl tert-butyl ether (MTBE)</t>
  </si>
  <si>
    <t>methyl tert-butyl ether</t>
  </si>
  <si>
    <t>2-Methoxy-2-methylpropane | MTBE</t>
  </si>
  <si>
    <t>1634-04-4</t>
  </si>
  <si>
    <t>BZLVMXJERCGZMT-UHFFFAOYSA-N</t>
  </si>
  <si>
    <t>Methyl tert-butyl ether/MTBE is a synthetic organic compound used primarily as a gasoline additive to increase octane rating and improve combustion efficiency. It is also used as a solvent in both industrial and research applications.</t>
  </si>
  <si>
    <t>4-Methyl-2-pentanone</t>
  </si>
  <si>
    <t>methyl-2-pentanone, 4-</t>
  </si>
  <si>
    <t>methyl isobutyl ketone | Isopropylacetone | MIBK</t>
  </si>
  <si>
    <t>108-10-1</t>
  </si>
  <si>
    <t>NTIZESTWPVYFNL-UHFFFAOYSA-N</t>
  </si>
  <si>
    <t>4-methyl-2-pentanone is an organic compound primarily used as an industrial solvent in paints, coatings, varnishes, lacquers, adhesives, inks, and resins. It is also used in the production of pharmaceuticals, rubber products, and chemical intermediates, and in extraction and cleaning processes. </t>
  </si>
  <si>
    <t>Methylene chloride</t>
  </si>
  <si>
    <t>methylene chloride</t>
  </si>
  <si>
    <t>dichloromethane | DCM | Freon 30 | R 30</t>
  </si>
  <si>
    <t>75-09-2</t>
  </si>
  <si>
    <t>YMWUJEATGCHHMB-UHFFFAOYSA-N</t>
  </si>
  <si>
    <t>Methylene chloride is a synthetic chlorinated organic compound primarily used as an industrial solvent in paint strippers, metal cleaning and degreasing, pharmaceutical manufacturing, and chemical processing. It is also used in aerosol formulations, foam productions, and the manufacture of plastics and other industrial products. Dichloromethane contaminates drinking water through discharge from chemical factories.</t>
  </si>
  <si>
    <t>1-Methylnaphthalene</t>
  </si>
  <si>
    <t>methylnaphthalene, 1-</t>
  </si>
  <si>
    <t>alpha-methylnaphthalene | α-methylnaphthalene</t>
  </si>
  <si>
    <t>90-12-0</t>
  </si>
  <si>
    <t>QPUYECUOLPXSFR-UHFFFAOYSA-N</t>
  </si>
  <si>
    <t>1-methylnaphthalene is a diesel range (C11) polycyclic aromatic hydrocarbon (PAH) commonly found in fossil fuels, including JP-5 jet fuel. It is used in chemical research, as an intermediate in the manufacture of dyes and specialty chemicals, and as a component of fuels and lubricants.</t>
  </si>
  <si>
    <t>2-Methylnaphthalene</t>
  </si>
  <si>
    <t>methylnaphthalene, 2-</t>
  </si>
  <si>
    <t>beta-Methylnaphthalene | β-methylnaphthalene</t>
  </si>
  <si>
    <t>91-57-6</t>
  </si>
  <si>
    <t>QIMMUPPBPVKWKM-UHFFFAOYSA-N</t>
  </si>
  <si>
    <t>2-methylnaphthalene is a diesel range (C11) polycyclic aromatic hydrocarbon (PAH) commonly found in fossil fuels, including JP-5 jet fuel. It is used as a chemical intermediate in the production of dyes, resins and other chemicals and is also a component of fuels, lubricants and industrial petroleum products.</t>
  </si>
  <si>
    <t>Monobromoacetic acid</t>
  </si>
  <si>
    <t>monobromoacetic acid</t>
  </si>
  <si>
    <t>Monochloroacetic acid</t>
  </si>
  <si>
    <t>monochloroacetic acid</t>
  </si>
  <si>
    <t>Naphthalene</t>
  </si>
  <si>
    <t>naphthalene</t>
  </si>
  <si>
    <t>91-20-3</t>
  </si>
  <si>
    <t>UFWIBTONFRDIAS-UHFFFAOYSA-N</t>
  </si>
  <si>
    <t>Naphthalene is a diesel range (C10) polycyclic aromatic hydrocarbon (PAH) primarily used in the production of other chemicals, chiefly phthalic anhydride, but also pesticides, pharmaceuticals, and other compounds. Naphthalene is also used in mothballs and deodorizer blocks, and is known to be present in JP-5 jet fuel.</t>
  </si>
  <si>
    <t>Nickel</t>
  </si>
  <si>
    <t>nickel</t>
  </si>
  <si>
    <t>7440-02-0</t>
  </si>
  <si>
    <t>PXHVJJICTQNCMI-UHFFFAOYSA-N</t>
  </si>
  <si>
    <t>Transition metal (group 10)</t>
  </si>
  <si>
    <t>Nickel is a chemical element and metal primarily used in the production of stainless steel and other metal alloys. It is also used in batteries, electroplating, coins, electronics, catalysts and industrial machinery. </t>
  </si>
  <si>
    <t>cis-Nonachlor</t>
  </si>
  <si>
    <t>Nonachlor, cis-</t>
  </si>
  <si>
    <t>5103-73-1</t>
  </si>
  <si>
    <t>OCHOKXCPKDPNQU-FLVMBEMLSA-N</t>
  </si>
  <si>
    <t>cis-nonachlor is a chlorinated organic compound that is found in the pesticide chlordane, which was applied to control termites, soil insects, and agricultural pests. Chlordane use has been banned since 1988, but residue may persist in the environment.</t>
  </si>
  <si>
    <t>trans-Nonachlor</t>
  </si>
  <si>
    <t>nonachlor, trans-</t>
  </si>
  <si>
    <t>39765-80-5</t>
  </si>
  <si>
    <t>trans-nonachlor is a chlorinated organic compound and a major component of the pesticide chlordane, which was widely used to control termites, soil insects, and agricultural pests. Chlordane use has been banned since 1988, but residue may persist in the environment.</t>
  </si>
  <si>
    <t>Pentachlorophenol</t>
  </si>
  <si>
    <t>pentachlorophenol</t>
  </si>
  <si>
    <t>87-86-5</t>
  </si>
  <si>
    <t>IZUPBVBPLAPZRR-UHFFFAOYSA-N</t>
  </si>
  <si>
    <t>Pentachlorophenol is a synthetic chlorinated organic compound primarily used as a wood preservative to protect utility poles, railroad ties, fence posts, and other outdoor products from fungal decay and insect damage. It has also been used as a pesticide, herbicide, and fungicide. Recently, the USEPA proposed a total ban on pentachlorophenol use in the USA; as of this writing, the phase-out period is ongoing. Drinking water contamination by pentachlorophenol can occur as a result of release from treated wood products or the factories which prepare them.</t>
  </si>
  <si>
    <t>pH</t>
  </si>
  <si>
    <t>6.5-8.5</t>
  </si>
  <si>
    <t>pH is a measure of the concentration of hydrogen ions in water, which indicates the acidity (low pH) or basicity (high pH) of the water. Excessively low pH can cause a bitter or metallic taste in drinking water and corrode plumbing fixtures; excessively high pH can cause water to have a slippery feel, a soda taste, and excessive deposits around plumbing.</t>
  </si>
  <si>
    <t>Phenanthrene</t>
  </si>
  <si>
    <t>phenanthrene</t>
  </si>
  <si>
    <t>85-01-8</t>
  </si>
  <si>
    <t>YNPNZTXNASCQKK-UHFFFAOYSA-N</t>
  </si>
  <si>
    <t>Phenanthrene is a diesel range (C14) polycyclic aromatic hydrocarbon (PAH) found naturally in fossil fuels and formed during incomplete combustion of organic materials. It is used as an intermediate in the production of dyes, plastics, pesticides, pharmaceuticals and other specialty chemicals. Small amounts of phenanthrene have been reported in JP-5 jet fuel.</t>
  </si>
  <si>
    <t>Phosphate</t>
  </si>
  <si>
    <t>phosphate</t>
  </si>
  <si>
    <t>orthophosphate</t>
  </si>
  <si>
    <t>14265-44-2</t>
  </si>
  <si>
    <t>NBIIXXVUZAFLBC-UHFFFAOYSA-K</t>
  </si>
  <si>
    <t>Phosphate is an ion composed of phosphorus and oxygen and a component of many minerals, including the mineral hydroxyapatite, which makes up bones and teeth.. Low levels of phosphate are common in drinking water from erosion of natural deposits, and additional phosphate may be added as a corrosion control measure to prevent leaching of lead from lead-containing plumbing materials. Phosphate is also used in fertilizers and elevated phosphate in drinking water may be due to agricultural runoff.</t>
  </si>
  <si>
    <t>Potassium</t>
  </si>
  <si>
    <t>potassium</t>
  </si>
  <si>
    <t>24203-36-9 | 7440-09-7</t>
  </si>
  <si>
    <t>NPYPAHLBTDXSSS-UHFFFAOYSA-N</t>
  </si>
  <si>
    <t>Alkali earth metal</t>
  </si>
  <si>
    <t>Potassium is a chemical element and metal. It is the eighth most abundant element in the earth’s crust and is a major component of many rocks and minerals. Potassium is found naturally in many foods and is an essential nutrient. Potassium is present in drinking water from erosion of natural potassium-containing minerals and the use of some potassium-containing chemicals in water treatment, but there is no evidence that potassium levels in municipal, treated drinking water are ever high enough to cause a health hazard to consumers.</t>
  </si>
  <si>
    <t>Isopropylbenzene</t>
  </si>
  <si>
    <t>propylbenzene, i-</t>
  </si>
  <si>
    <t>(1-methylethyl)benzene | cumene</t>
  </si>
  <si>
    <t>98-82-8</t>
  </si>
  <si>
    <t>RWGFKTVRMDUZSP-UHFFFAOYSA-N</t>
  </si>
  <si>
    <t>Isopropylbenzene is an aromatic organic compound primarily used as a chemical intermediate to produce phenol and acetone. It is also used as a solvent and is a component of petroleum fuels, including JP-5 jet fuel.</t>
  </si>
  <si>
    <t>n-Propylbenzene</t>
  </si>
  <si>
    <t>propylbenzene, n-</t>
  </si>
  <si>
    <t>isocumene</t>
  </si>
  <si>
    <t>103-65-1</t>
  </si>
  <si>
    <t>ODLMAHJVESYWTB-UHFFFAOYSA-N</t>
  </si>
  <si>
    <t>n-propylbenzene is a gasoline range (C9) aromatic hydrocarbon used as a solvent and as an intermediate in the manufacture of other chemicals, including plastics, resins, and specialty industrial products. It is also found in petroleum products, including JP-5 jet fuel.</t>
  </si>
  <si>
    <t>Pyrene</t>
  </si>
  <si>
    <t>pyrene</t>
  </si>
  <si>
    <t>129-00-0</t>
  </si>
  <si>
    <t>BBEAQIROQSPTKN-UHFFFAOYSA-N</t>
  </si>
  <si>
    <t>Pyrene is a diesel range (C16) polycyclic aromatic hydrocarbon (PAH) found in coal tar and formed during incomplete combustion of coal, oil, gasoline, wood and other organic materials. It is primarily used in chemical research and as an intermediate in the production of dyes, plastics, pesticides and other specialty chemicals and commonly found in coal tar, petroleum products and combustion emissions.</t>
  </si>
  <si>
    <t>Selenium</t>
  </si>
  <si>
    <t>selenium</t>
  </si>
  <si>
    <t>7782-49-2</t>
  </si>
  <si>
    <t>BUGBHKTXTAQXES-UHFFFAOYSA-N</t>
  </si>
  <si>
    <t>Chalcogen (oxygen group)</t>
  </si>
  <si>
    <t>Selenium is a chemical element used in electronics, glass manufacturing, pigments, solar cells, and metal alloys. It is also used in semiconductor production, photocopiers, batteries, and as an additive in some industrial and agricultural products. Drinking water contamination arises from industrial discharges (petroleum and metal refineries, mining) and erosion of natural minerals.</t>
  </si>
  <si>
    <t>Silica</t>
  </si>
  <si>
    <t>silica</t>
  </si>
  <si>
    <t>7631-86-9</t>
  </si>
  <si>
    <t>VYPSYNLAJGMNEJ-UHFFFAOYSA-N</t>
  </si>
  <si>
    <t>Silica is a chemical compound that is a major component of many minerals, rocks, and sands, especially quartz, which makes up more than 10% of the earth’s crust. Silica is also naturally present in some plants such as rice. The primary uses of silica are in production of concrete, glass, and pure silicon. Silica is also used in drinking water treatment to make sand filters and prepare sodium silicate, which is used to help coagulate impurities so that they settle out of the water. Water that is high in silica can contribute to formation of scale or sediment and exhibit persistent cloudiness.</t>
  </si>
  <si>
    <t>Simazine</t>
  </si>
  <si>
    <t>simazine</t>
  </si>
  <si>
    <t>2,4-bis(ethylamino)-6-chloro-1,3,5-triazine</t>
  </si>
  <si>
    <t>122-34-9</t>
  </si>
  <si>
    <t>ODCWYMIRDDJXKW-UHFFFAOYSA-N</t>
  </si>
  <si>
    <t>Simazine is an herbicide used to control broadleaf weeds and grasses in agriculture, orchards, vineyards, and non-crop areas. It is commonly applied to crops and landscaped areas to prevent weed growth and it enters the environment through agricultural use, runoff and leaching into soil and water.</t>
  </si>
  <si>
    <t>Sodium</t>
  </si>
  <si>
    <t>sodium</t>
  </si>
  <si>
    <t>17341-25-2 | 7440-23-5</t>
  </si>
  <si>
    <t>FKNQFGJONOIPTF-UHFFFAOYSA-N</t>
  </si>
  <si>
    <t>Sodium is a chemical element and metal. It is the sixth most abundant element in the earth’s crust and is a major component of many rocks and minerals, most notably dietary salt (sodium chloride), which is also the salt found in the oceans. Sodium is found naturally in many foods and is an essential nutrient, though excessive consumption of sodium can lead to health problems and is especially common in the developed world. Sodium is present in drinking water owing to its almost ubiquitous presence in water sources as well as its use as a component of various water treatment chemicals. Excessively high sodium levels can arise from contamination by seawater, road salt, fertilizers, industrial waste, or sewage.</t>
  </si>
  <si>
    <t>Styrene</t>
  </si>
  <si>
    <t>styrene</t>
  </si>
  <si>
    <t>ethenylbenzene | cinnamene | styrol | vinylbenzene</t>
  </si>
  <si>
    <t>100-42-5</t>
  </si>
  <si>
    <t>PPBRXRYQALVLMV-UHFFFAOYSA-N</t>
  </si>
  <si>
    <t>Alkenylated</t>
  </si>
  <si>
    <t>Styrene is an aromatic organic compound primarily used in the production of polystyrene plastics (including styrofoam and ABS), synthetic rubber (including ~50% of tire rubber production), fiberglass, resins, and insulation materials. Sources of drinking water contamination include discharges from factories that employ styrene in the production of rubber and plastics and leaching from landfills.</t>
  </si>
  <si>
    <t>Sulfate</t>
  </si>
  <si>
    <t>sulfate</t>
  </si>
  <si>
    <t>14808-79-8</t>
  </si>
  <si>
    <t>QAOWNCQODCNURD-UHFFFAOYSA-L</t>
  </si>
  <si>
    <t>Sulfate is an ion composed of sulfur and oxygen and a component of many minerals. It is most commonly found in water through erosion of natural deposits. Excessive amounts of sulfate may cause a salty or bitter taste.</t>
  </si>
  <si>
    <t>Tert-amyl methyl ether</t>
  </si>
  <si>
    <t>tert-amyl methyl ether</t>
  </si>
  <si>
    <t>TAME | 2-methoxy-2-methylbutane</t>
  </si>
  <si>
    <t>994-05-8</t>
  </si>
  <si>
    <t>HVZJRWJGKQPSFL-UHFFFAOYSA-N</t>
  </si>
  <si>
    <t>tert-amyl methyl ether/TAME is an organic compound primarily used as a gasoline additive to increase octane levels and improve fuel combustion efficiency. It is added to gasoline to reduce engine knocking and help lower emissions from motor vehicles.</t>
  </si>
  <si>
    <t>1,1,1,2-Tetrachloroethane</t>
  </si>
  <si>
    <t>tetrachloroethane, 1,1,1,2-</t>
  </si>
  <si>
    <t>630-20-6</t>
  </si>
  <si>
    <t>QVLAWKAXOMEXPM-UHFFFAOYSA-N</t>
  </si>
  <si>
    <t>1,1,1,2-tetrachloroethane is a chlorinated organic compound primarily used as a solvent in the production of wood stains and varnishes and in insecticides and paint removers. It has been used in metal degreasing, extraction processes, and chemical manufacturing, and serves as a feedstock for the production of solvents and refrigerants.</t>
  </si>
  <si>
    <t>1,1,2,2-Tetrachloroethane</t>
  </si>
  <si>
    <t>tetrachloroethane, 1,1,2,2-</t>
  </si>
  <si>
    <t>R-130 | TeCA | acetylene tetrachloride | sym-tetrachloroethane</t>
  </si>
  <si>
    <t>79-34-5</t>
  </si>
  <si>
    <t>QPFMBZIOSGYJDE-UHFFFAOYSA-N</t>
  </si>
  <si>
    <t>1,1,2,2-tetrachloroethane is a chlorinated organic compound primarily used as an industrial solvent for fats, oils, waxes, resins, and rubber. It has also been used as a chemical intermediate in the manufacture of other chlorinated compounds and in metal cleaning, degreasing and extraction processes.</t>
  </si>
  <si>
    <t>Tetrachloroethene</t>
  </si>
  <si>
    <t>tetrachloroethene</t>
  </si>
  <si>
    <t>127-18-4</t>
  </si>
  <si>
    <t>CYTYCFOTNPOANT-UHFFFAOYSA-N</t>
  </si>
  <si>
    <t>Tetrachloroethene is a chlorinated organic compound primarily used in dry cleaning and metal degreasing operations. It is also used as solvent in textile processing, chemical manufacturing and the production of other industrial chemicals. Drinking water contamination can occur as a result of discharge from factories and dry cleaners.</t>
  </si>
  <si>
    <t>Thallium</t>
  </si>
  <si>
    <t>thallium</t>
  </si>
  <si>
    <t>7440-28-0</t>
  </si>
  <si>
    <t>BKVIYDNLLOSFOA-UHFFFAOYSA-N</t>
  </si>
  <si>
    <t>Post-transition metal, group 13</t>
  </si>
  <si>
    <t>Thallium is a chemical element that occurs naturally in the earth’s crust and is used in a variety of electronics and optics applications, especially in scientific research. It occurs in ores that are sources of lead, zinc, and copper, and is produced as a byproduct of their refining. Thallium contamination of drinking water can occur through leaching from ore-processing sites and discharge from factories that handle thallium compounds (electronics, glass, and drugs).</t>
  </si>
  <si>
    <t>Toluene</t>
  </si>
  <si>
    <t>1-methylbenzene</t>
  </si>
  <si>
    <t>108-88-3</t>
  </si>
  <si>
    <t>YXFVVABEGXRONW-UHFFFAOYSA-N</t>
  </si>
  <si>
    <t>Toluene is a gasoline range (C7) aromatic hydrocarbon primarily used as a gasoline additive and as an industrial solvent in paints, coatings, adhesives, inks and cleaning products. It is also used as a precursor to the production of benzene and xylenes. Toluene is known to be present in JP-5 jet fuel.</t>
  </si>
  <si>
    <t>Total alkalinity</t>
  </si>
  <si>
    <t>total alkalinity</t>
  </si>
  <si>
    <t>Total alkalinity is a measurement of all substances that can neutralize acids in a water sample, most commonly carbonate, bicarbonate, and hydroxide ions. High concentrations of these ions arise naturally from leaching of certain minerals from rocks and soils, and through certain industrial processes. Alkalinity is related to, but not the same as, water hardness.</t>
  </si>
  <si>
    <t>Total coliforms</t>
  </si>
  <si>
    <t>total coliforms</t>
  </si>
  <si>
    <t>Coliforms are a family of bacteria common in the digestive tracts and feces of warm-blooded animals. While many coliforms are not themselves hazardous (a notable exception to this being certain strains of E. coli), they are easily measured, so their presence in water is used as a surrogate for the presence of harder-to-measure disease-causing bacteria. Fecal coliforms are a subset of total coliforms that are found exclusively in feces.</t>
  </si>
  <si>
    <t>!!!!</t>
  </si>
  <si>
    <t>Total HAAs</t>
  </si>
  <si>
    <t>total HAAs</t>
  </si>
  <si>
    <t>Mixture</t>
  </si>
  <si>
    <t>Mixture of pure compounds</t>
  </si>
  <si>
    <t>MCLG per component</t>
  </si>
  <si>
    <t>Haloacetic acids (HAAs) are disinfection byproducts formed through reaction of disinfectants with organic material present in source water. Five haloacetic acids are regulated under federal guidelines: monochloroacetic acid, dichloroacetic acid, trichloroacetic acid, monobromo acetic acid, and dibromoacetic acid.</t>
  </si>
  <si>
    <t>TOC</t>
  </si>
  <si>
    <t>total organic carbon</t>
  </si>
  <si>
    <t>Total organic carbon</t>
  </si>
  <si>
    <t>Method-defined analytical mixture</t>
  </si>
  <si>
    <t>Total organic carbon is a measure of the quantity of the chemical element carbon present in a sample that is present in organic compounds. Organic compounds are those compounds that contain carbon-carbon and carbon-hydrogen bonds. Carbon comes from a huge number of sources and measured total organic carbon can not be definitively linked to any particular source without additional chemical analysis. Organic carbon is commonly present in drinking water sources at low levels from dissolved natural materials and bacterial metabolites. Total organic carbon is monitored and controlled to manage production of disinfection byproducts in the drinking water system.</t>
  </si>
  <si>
    <t>Petroleum hydrocarbons (total)</t>
  </si>
  <si>
    <t>total petroleum hydrocarbons</t>
  </si>
  <si>
    <t>TPH-D</t>
  </si>
  <si>
    <t>total petroleum hydrocarbons, diesel range</t>
  </si>
  <si>
    <t/>
  </si>
  <si>
    <t>TPH-D, silica gel cleaned up</t>
  </si>
  <si>
    <t>total petroleum hydrocarbons, diesel range, with silica gel cleanup</t>
  </si>
  <si>
    <t>Total petroleum hydrocarbons, diesel range, silica gel cleaned up |TPH-D (SGC)</t>
  </si>
  <si>
    <t>TPH-G</t>
  </si>
  <si>
    <t>total petroleum hydrocarbons, gasoline range</t>
  </si>
  <si>
    <t>TPH-O</t>
  </si>
  <si>
    <t>total petroleum hydrocarbons, oil range</t>
  </si>
  <si>
    <t>TPH-O, silica gel cleaned up</t>
  </si>
  <si>
    <t>total petroleum hydrocarbons, oil range, with silica gel cleanup</t>
  </si>
  <si>
    <t>Total petroleum hydrocarbons, oil range, silica gel cleaned up | TPH-O (SGC)</t>
  </si>
  <si>
    <t>THMs, Total</t>
  </si>
  <si>
    <t>total THMs</t>
  </si>
  <si>
    <t>Total trihalomethanes | THM4s</t>
  </si>
  <si>
    <t>Trihalomethanes (THMs) are compounds consisting of a central carbon atom which is bound to one hydrogen atom and three atoms of chlorine, bromine, or iodine. They are produced in drinking water as result of water treatment with chlorine and the presence of naturally-occurring bromide and/or iodide. Four trihalomethanes (trichloromethane, bromodichloromethane, dibromochloromethane, and tribromomethane) are regulated drinking water contaminants as a mixture, measured as total trihalomethanes/TTHMs, also sometimes notated as trihalomethanes-4/THM4s.</t>
  </si>
  <si>
    <t>Trichloroacetic acid</t>
  </si>
  <si>
    <t>trichloroacetic acid</t>
  </si>
  <si>
    <t>1,2,3-Trichlorobenzene</t>
  </si>
  <si>
    <t>trichlorobenzene, 1,2,3-</t>
  </si>
  <si>
    <t>87-61-6</t>
  </si>
  <si>
    <t>RELMFMZEBKVZJC-UHFFFAOYSA-N</t>
  </si>
  <si>
    <t>1,2,3-trichlorobenzene is an organochlorine compound primarily used as a chemical intermediate in the manufacture of dyes, pesticides, insecticides, lubricants and other industrial chemicals. It has also been used as a solvent, dielectric fluid and heat-transfer medium in industrial applications.</t>
  </si>
  <si>
    <t>1,2,4-Trichlorobenzene</t>
  </si>
  <si>
    <t>trichlorobenzene, 1,2,4-</t>
  </si>
  <si>
    <t>120-82-1</t>
  </si>
  <si>
    <t>PBKONEOXTCPAFI-UHFFFAOYSA-N</t>
  </si>
  <si>
    <t>1,2,4-trichlorobenzene is an organochlorine compound primarily used as a chemical intermediate in the production of dyes, herbicides, insecticides, and other industrial chemicals. It has also been used as a solvent, degreasing agent, dielectric fluid, heat-transfer medium and lubricant additive. Contamination of drinking water with 1,2,4-trichlorobenzene most frequently occurs as a result of discharges from textile finishing factories.</t>
  </si>
  <si>
    <t>1,1,1-Trichloroethane</t>
  </si>
  <si>
    <t>trichloroethane, 1,1,1-</t>
  </si>
  <si>
    <t>alpha-T | alpha-trichloroethane | methylchloroform</t>
  </si>
  <si>
    <t>71-55-6</t>
  </si>
  <si>
    <t>UOCLXMDMGBRAIB-UHFFFAOYSA-N</t>
  </si>
  <si>
    <t>NPDWR specifically gives MCLG as 0.20 to 2 SF</t>
  </si>
  <si>
    <t>1,1,1-trichloroethane is an organochlorine compound that was widely used as an industrial solvent for metal degreasing, cleaning electronic components and removing oils, greases and adhesives. It was also used in aerosol products, coatings, inks, and chemical manufacturing processes before its use was largely phased out due to its ozone-depleting characteristics. Contamination of drinking water with 1,1,1-trichloroethane occurs as a result of discharge from industrial sites.</t>
  </si>
  <si>
    <t>1,1,2-trichloroethane</t>
  </si>
  <si>
    <t>trichloroethane, 1,1,2-</t>
  </si>
  <si>
    <t>beta-T | beta-trichloroethane</t>
  </si>
  <si>
    <t>79-00-5</t>
  </si>
  <si>
    <t>UBOXGVDOUJQMTN-UHFFFAOYSA-N</t>
  </si>
  <si>
    <t>1,1,2-trichloroethane is an organochlorine compound primarily used as an industrial solvent and as a chemical intermediate in the manufacture of chlorinated chemicals. It has also been used as a solvent and in industrial processing applications. Contamination of drinking water with 1,1,1-trichloroethane occurs as a result of discharge from industrial sites.</t>
  </si>
  <si>
    <t>Trichloroethene</t>
  </si>
  <si>
    <t>trichloroethene</t>
  </si>
  <si>
    <t>acetylene trichloride | ethylene trichloride | trichlor</t>
  </si>
  <si>
    <t>79-01-6</t>
  </si>
  <si>
    <t>XSTXAVWGXDQKEL-UHFFFAOYSA-N</t>
  </si>
  <si>
    <t>Trichloroethene is an organochlorine compound primarily used as an industrial solvent for metal degreasing and cleaning of manufactured parts. It is also used in the production of refrigerants and in adhesives, paint removers, and industrial cleaning products.</t>
  </si>
  <si>
    <t>Trichlorofluoromethane</t>
  </si>
  <si>
    <t>trichlorofluoromethane</t>
  </si>
  <si>
    <t>CFC-11 | Freon 11 | Refrigerant 11 | fluorochloroform</t>
  </si>
  <si>
    <t>75-69-4</t>
  </si>
  <si>
    <t>CYRMSUTZVYGINF-UHFFFAOYSA-N</t>
  </si>
  <si>
    <t>Trichlorofluoromethane is a synthetic chlorofluorocarbon (CFC) primarily used as a refrigerant in air conditioning and refrigeration systems, as a blowing agent in the manufacture of foam insulation and packaging materials, and as a propellant in aerosol products. </t>
  </si>
  <si>
    <t>1,2,3-Trichloropropane</t>
  </si>
  <si>
    <t>trichloropropane, 1,2,3-</t>
  </si>
  <si>
    <t>TCP</t>
  </si>
  <si>
    <t>96-18-4</t>
  </si>
  <si>
    <t>CFXQEHVMCRXUSD-UHFFFAOYSA-N</t>
  </si>
  <si>
    <t>1,2,3-trichloropropane is a chlorinated hydrocarbon compound used as a chemical intermediate in the production of pesticides and other industrial chemicals. It has also been used as a paint and varnish remover, degreasing agent, and cleaning solvent.</t>
  </si>
  <si>
    <t>1,2,4-Trimethylbenzene</t>
  </si>
  <si>
    <t>trimethylbenzene, 1,2,4-</t>
  </si>
  <si>
    <t>pseudocumene</t>
  </si>
  <si>
    <t>95-63-6</t>
  </si>
  <si>
    <t>GWHJZXXIDMPWGX-UHFFFAOYSA-N</t>
  </si>
  <si>
    <t>1,2,4-trimethylbenzene is an organic compound and gasoline range hydrocarbon (C9) found in coal tar and petroleum products, including JP-5 jet fuel. It is used in the production of polymers, dyes, perfumes, resins, and fuels. It is also used as a sterilizing agent and in laboratory experiments to measure radiation.</t>
  </si>
  <si>
    <t>1,3,5-Trimethylbenzene</t>
  </si>
  <si>
    <t>trimethylbenzene, 1,3,5-</t>
  </si>
  <si>
    <t>mesitylene | sym-trimethylbenzene</t>
  </si>
  <si>
    <t>108-67-8</t>
  </si>
  <si>
    <t>AUHZEENZYGFFBQ-UHFFFAOYSA-N</t>
  </si>
  <si>
    <t>1,3,5-trimethylbenzene is an organic compound and gasoline range hydrocarbon (C9) found in coal tar and petroleum products. It is known to be present in JP-5 jet fuel and is used as a solvent, cleanser, and as a starting material for the production of other compounds.</t>
  </si>
  <si>
    <t>Turbidity</t>
  </si>
  <si>
    <t>turbidity</t>
  </si>
  <si>
    <t>Turbidity is a measurement of the cloudiness of a water sample. High turbidity indicates the presence of large particles, possibly including disease-causing organisms. Increased turbidity in drinking water is often due to the presence of soil runoff. A turbidity measurement can not detect a specific contaminant but can indicate the need for further testing and water treatment.</t>
  </si>
  <si>
    <t>m,p-Xylene</t>
  </si>
  <si>
    <t>xylene, m- &amp; p-</t>
  </si>
  <si>
    <t>See Xylenes</t>
  </si>
  <si>
    <t>m- and p-xylene are C8 (gasoline range) hydrocarbons found in a variety of petroleum products including aviation fuels (including JP-5) and gasoline. m- and p-xylene are often found in a mixture with o-xylene (see xylenes, total). The vast majority of pure p-xylene produced is used to create PET plastic, which is used to make drink bottles, and polyester fabrics. m-xylene is used as a chemical precursor at a much smaller scale. Contamination of water sources by xylenes occurs by discharge from petroleum and chemical factories.</t>
  </si>
  <si>
    <t>m- and p-xylene are two structurally similar, but distinct chemical compounds. They are reported together because they are so similar that the standard method used for volatile organic compounds analysis, gas chromatography-mass spectrometry, is unable to distinguish between them. The measured amount of "m- and p-xylene" in a sample may consist entirely of one compound or of a mixture of both.</t>
  </si>
  <si>
    <t>o-Xylene</t>
  </si>
  <si>
    <t>xylene, o-</t>
  </si>
  <si>
    <t>1,2-dimethylbenzene</t>
  </si>
  <si>
    <t>95-47-6</t>
  </si>
  <si>
    <t>CTQNGGLPUBDAKN-UHFFFAOYSA-N</t>
  </si>
  <si>
    <t>o-xylene is a C8 (gasoline range) hydrocarbon found in a variety of petroleum products including aviation fuels (including JP-5) and gasoline.  o-xylene is often found mixed with m- and p-xylenes (see xylenes, total); on its own, o-xylene is used to produce an intermediate used to make plasticizers. Contamination of water sources by xylenes occurs by discharge from petroleum and chemical factories.</t>
  </si>
  <si>
    <t>Xylenes</t>
  </si>
  <si>
    <t>xylenes, total</t>
  </si>
  <si>
    <t>dimethylbenzenes</t>
  </si>
  <si>
    <t>Xylenes are a group of three related compounds, o-xylene, m-xylene, and p-xylene, which are C8 (gasoline range) hydrocarbons found in a variety of petroleum products including aviation fuels (including JP-5) and gasoline. The mixture of the three xylenes is used as an industrial solvent, as a thinner for paints and varnishes, and in dentistry. The vast majority of pure p-xylene produced is used to create PET plastic, which is used to make drink bottles, and polyester fabrics; o-xylene is used to produce an intermediate used to make plasticizers. Contamination of water sources by xylenes occurs by discharge from petroleum and chemical factories.</t>
  </si>
  <si>
    <t>id</t>
  </si>
  <si>
    <t>text</t>
  </si>
  <si>
    <t>A comprehensive analysis of the polycyclic aromatic hydrocarbon content of jet fuels carried out by L.A. Shumway in 2000 found that the major PAHs in JP-5 are, in order of abundance, C1-naphthalenes, C2-naphthalenes, naphthalene, C3-naphthalenes, biphenyl, and C4-naphthalenes. Of the compounds annotated with this footnote, only anthracene (0.02%), fluoranthene (0.02%), fluorene (0.4%), and phenanthrene (0.1%) were found to be present in JP-5, the rest were not detected.</t>
  </si>
  <si>
    <t>A comprehensive analysis of the trace metal content of jet fuels carried out by L.A. Shumway in 2000 analyzed jet fuel samples for a panel of 38 metals, including those annotated with this footnote that show up in Red Hill datasets. Of those that were monitored in a Red Hill dataset, only barium, chromium, copper, lead, and nickel were detected in JP-5 in this work.</t>
  </si>
  <si>
    <t>The Extended Drinking Water Monitoring Plan (June 2024) incorrectly lists the CASRNs for these compounds as those for the metallic elements. However, only the ionic forms are expected to be present in drinking water, and they have different CASRNs and InChIKeys. For compatibility we have included the CASRN for the metallic form of each impacted element, but we have only included the InChIKeys for the ionic form(s).</t>
  </si>
  <si>
    <t>C5H12O3</t>
  </si>
  <si>
    <t>C12H10</t>
  </si>
  <si>
    <t>C12H8</t>
  </si>
  <si>
    <t>C14H20ClNO2</t>
  </si>
  <si>
    <t>C14H10</t>
  </si>
  <si>
    <t>Sb</t>
  </si>
  <si>
    <t>As</t>
  </si>
  <si>
    <t>C8H14ClN5</t>
  </si>
  <si>
    <t>Ba</t>
  </si>
  <si>
    <t>C6H6</t>
  </si>
  <si>
    <t>C18H12</t>
  </si>
  <si>
    <t>C20H12</t>
  </si>
  <si>
    <t>C22H12</t>
  </si>
  <si>
    <t>C22H14</t>
  </si>
  <si>
    <t>Be</t>
  </si>
  <si>
    <t>C22H42O4</t>
  </si>
  <si>
    <t>C24H38O4</t>
  </si>
  <si>
    <t>C6H5Br</t>
  </si>
  <si>
    <t>CH2BrCl</t>
  </si>
  <si>
    <t>CHBrCl2</t>
  </si>
  <si>
    <t>CHBr3</t>
  </si>
  <si>
    <t>CH3Br</t>
  </si>
  <si>
    <t>C4H8O</t>
  </si>
  <si>
    <t>C10H14</t>
  </si>
  <si>
    <t>Cd</t>
  </si>
  <si>
    <t>CCl4</t>
  </si>
  <si>
    <t>C10H6Cl8</t>
  </si>
  <si>
    <t>C6H5Cl</t>
  </si>
  <si>
    <t>C2H5Cl</t>
  </si>
  <si>
    <t>C2H3Cl</t>
  </si>
  <si>
    <t>CHCl3</t>
  </si>
  <si>
    <t>CH3Cl</t>
  </si>
  <si>
    <t>C7H7Cl</t>
  </si>
  <si>
    <t>Cu</t>
  </si>
  <si>
    <t>C3H5Br2Cl</t>
  </si>
  <si>
    <t>CHBr2Cl</t>
  </si>
  <si>
    <t>C2H4Br2</t>
  </si>
  <si>
    <t>CH2Br2</t>
  </si>
  <si>
    <t>C6H4Cl2</t>
  </si>
  <si>
    <t>CCl2F2</t>
  </si>
  <si>
    <t>C2H4Cl2</t>
  </si>
  <si>
    <t>C2H2Cl2</t>
  </si>
  <si>
    <t>C3H6Cl2</t>
  </si>
  <si>
    <t>C3H4Cl2</t>
  </si>
  <si>
    <t>C6H14O</t>
  </si>
  <si>
    <t>C12H8Cl6O</t>
  </si>
  <si>
    <t>C8H10</t>
  </si>
  <si>
    <t>C16H10</t>
  </si>
  <si>
    <t>C13H10</t>
  </si>
  <si>
    <t>C2Cl3F3</t>
  </si>
  <si>
    <t>C10H5Cl7</t>
  </si>
  <si>
    <t>C10H5Cl7O</t>
  </si>
  <si>
    <t>C4Cl6</t>
  </si>
  <si>
    <t>C5Cl6</t>
  </si>
  <si>
    <t>C6H12O</t>
  </si>
  <si>
    <t>Pb</t>
  </si>
  <si>
    <t>Hg</t>
  </si>
  <si>
    <t>C16H15Cl3O2</t>
  </si>
  <si>
    <t>C5H12O</t>
  </si>
  <si>
    <t>CH2Cl2</t>
  </si>
  <si>
    <t>C11H10</t>
  </si>
  <si>
    <t>C10H8</t>
  </si>
  <si>
    <t>Ni</t>
  </si>
  <si>
    <t>C6HCl5O</t>
  </si>
  <si>
    <t>C9H12</t>
  </si>
  <si>
    <t>Se</t>
  </si>
  <si>
    <t>C7H12ClN5</t>
  </si>
  <si>
    <t>C8H8</t>
  </si>
  <si>
    <t>C2H2Cl4</t>
  </si>
  <si>
    <t>C2Cl4</t>
  </si>
  <si>
    <t>Tl</t>
  </si>
  <si>
    <t>C7H8</t>
  </si>
  <si>
    <t>C6H3Cl3</t>
  </si>
  <si>
    <t>C2H3Cl3</t>
  </si>
  <si>
    <t>C2HCl3</t>
  </si>
  <si>
    <t>CCl3F</t>
  </si>
  <si>
    <t>C3H5Cl3</t>
  </si>
  <si>
    <t>BrO3 −</t>
  </si>
  <si>
    <t>Br −</t>
  </si>
  <si>
    <t>Ca 2+</t>
  </si>
  <si>
    <t>ClO3 −</t>
  </si>
  <si>
    <t>Cl −</t>
  </si>
  <si>
    <t>ClO2 −</t>
  </si>
  <si>
    <t>Cr 3+ | Cr 6+</t>
  </si>
  <si>
    <t>C2H2O2Br2</t>
  </si>
  <si>
    <t>C2H2O2Cl2</t>
  </si>
  <si>
    <t>F −</t>
  </si>
  <si>
    <t>Fe 2+ | Fe 3+</t>
  </si>
  <si>
    <t>Mg 2+</t>
  </si>
  <si>
    <t>Mn 2+</t>
  </si>
  <si>
    <t>C2H3O2Br</t>
  </si>
  <si>
    <t>C2H3O2Cl</t>
  </si>
  <si>
    <t>PO4 3−</t>
  </si>
  <si>
    <t>K +</t>
  </si>
  <si>
    <t>SiO2</t>
  </si>
  <si>
    <t>Na +</t>
  </si>
  <si>
    <t>SO4 2−</t>
  </si>
  <si>
    <t>C2HO2Cl3</t>
  </si>
  <si>
    <t>Chemical formula</t>
  </si>
  <si>
    <t>1 - 3</t>
  </si>
  <si>
    <t>Pesticides (includes herbicides) (see footnote D)</t>
  </si>
  <si>
    <t>D</t>
  </si>
  <si>
    <t>This compound is not an active ingredient of a pesticide, but is present in pesticide products as a byproduct of manufacturing and is thus found in areas where pesticide contamination has occurred.</t>
  </si>
  <si>
    <t>1,1-DCE | 1,1-dichloroethylene | VDC | Vinylidene dichloride</t>
  </si>
  <si>
    <t>(Z)-1,2-dichloroethene</t>
  </si>
  <si>
    <t>(E)-1,2-dichloroethene</t>
  </si>
  <si>
    <t>1,1,2,2-tetrachloroethene | Chlorethose | dicarbon tetrachloride | pce | perc | perchlorethylene</t>
  </si>
  <si>
    <t>total haloacetic acids | HAA-5s | THAAs</t>
  </si>
  <si>
    <t>TPH</t>
  </si>
  <si>
    <t>Total petroleum hydrocarbons, diesel range</t>
  </si>
  <si>
    <t>Total petroleum hydrocarbons, gasoline range</t>
  </si>
  <si>
    <t>Total petroleum hydrocarbons, oil range</t>
  </si>
  <si>
    <t>chlordane, trans- | chlordane, γ- | chlordane, beta- | chlordane, β-</t>
  </si>
  <si>
    <t>Chlordane, γ-</t>
  </si>
  <si>
    <t>Pure compound, not to be confused with chlordane as a product, which contains chlordane, heptachlor, and nonachlor. Note that the nomenclature of chlordane compounds is somewhat sloppy. This compound, referred to by CASRN 5103-74-2, is referred to as both beta- and gamma-Chlordane. A separate compound, CASRN 5566-34-7, is also referred to as gamma-Chlordane, despite being chemically distinct.</t>
  </si>
  <si>
    <t>dibenzo[a,h]anthracene | DBA</t>
  </si>
  <si>
    <t>BEHA | DEHA | diethylhexyl adipate</t>
  </si>
  <si>
    <t>DEHP | diethylhexyl phthalate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</si>
</sst>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color theme="1"/>
      <name val="Arial"/>
      <scheme val="minor"/>
    </font>
    <font>
      <b/>
      <sz val="20"/>
      <color theme="0"/>
      <name val="Arial"/>
      <family val="2"/>
    </font>
    <font>
      <sz val="10"/>
      <name val="Arial"/>
      <family val="2"/>
    </font>
    <font>
      <b/>
      <u/>
      <sz val="10"/>
      <color theme="1"/>
      <name val="Arial"/>
      <family val="2"/>
    </font>
    <font>
      <b/>
      <u/>
      <sz val="10"/>
      <color theme="1"/>
      <name val="Arial"/>
      <family val="2"/>
    </font>
    <font>
      <sz val="10"/>
      <color theme="1"/>
      <name val="Arial"/>
      <family val="2"/>
    </font>
    <font>
      <i/>
      <u/>
      <sz val="10"/>
      <color theme="1"/>
      <name val="Arial"/>
      <family val="2"/>
    </font>
    <font>
      <i/>
      <u/>
      <sz val="10"/>
      <color rgb="FFFFFFFF"/>
      <name val="Arial"/>
      <family val="2"/>
    </font>
    <font>
      <i/>
      <u/>
      <sz val="10"/>
      <color rgb="FFFFFFFF"/>
      <name val="Arial"/>
      <family val="2"/>
    </font>
    <font>
      <i/>
      <u/>
      <sz val="10"/>
      <color rgb="FFFFFFFF"/>
      <name val="Arial"/>
      <family val="2"/>
    </font>
    <font>
      <i/>
      <u/>
      <sz val="10"/>
      <color rgb="FFFFFFFF"/>
      <name val="Arial"/>
      <family val="2"/>
    </font>
    <font>
      <i/>
      <u/>
      <sz val="10"/>
      <color rgb="FFFFFFFF"/>
      <name val="Arial"/>
      <family val="2"/>
    </font>
    <font>
      <i/>
      <u/>
      <sz val="10"/>
      <color rgb="FFFFFFFF"/>
      <name val="Arial"/>
      <family val="2"/>
    </font>
    <font>
      <b/>
      <u/>
      <sz val="10"/>
      <color rgb="FFFFFFFF"/>
      <name val="Arial"/>
      <family val="2"/>
    </font>
    <font>
      <sz val="10"/>
      <color rgb="FF000000"/>
      <name val="Arial"/>
      <family val="2"/>
    </font>
    <font>
      <sz val="11"/>
      <color rgb="FF262626"/>
      <name val="Arial"/>
      <family val="2"/>
    </font>
    <font>
      <sz val="10"/>
      <color rgb="FFFF0000"/>
      <name val="Arial"/>
      <family val="2"/>
    </font>
    <font>
      <sz val="10"/>
      <color theme="1"/>
      <name val="Arial"/>
      <family val="2"/>
      <scheme val="minor"/>
    </font>
  </fonts>
  <fills count="9">
    <fill>
      <patternFill patternType="none"/>
    </fill>
    <fill>
      <patternFill patternType="gray125"/>
    </fill>
    <fill>
      <patternFill patternType="solid">
        <fgColor rgb="FF0070C0"/>
        <bgColor rgb="FF0070C0"/>
      </patternFill>
    </fill>
    <fill>
      <patternFill patternType="solid">
        <fgColor rgb="FF00B050"/>
        <bgColor rgb="FF00B050"/>
      </patternFill>
    </fill>
    <fill>
      <patternFill patternType="solid">
        <fgColor rgb="FF92D050"/>
        <bgColor rgb="FF92D050"/>
      </patternFill>
    </fill>
    <fill>
      <patternFill patternType="solid">
        <fgColor rgb="FFFFFF00"/>
        <bgColor rgb="FFFFFF00"/>
      </patternFill>
    </fill>
    <fill>
      <patternFill patternType="solid">
        <fgColor rgb="FF00B0F0"/>
        <bgColor rgb="FF00B0F0"/>
      </patternFill>
    </fill>
    <fill>
      <patternFill patternType="solid">
        <fgColor rgb="FF00B050"/>
        <bgColor theme="8"/>
      </patternFill>
    </fill>
    <fill>
      <patternFill patternType="solid">
        <fgColor rgb="FF00B050"/>
        <bgColor rgb="FF92D050"/>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39">
    <xf numFmtId="0" fontId="0" fillId="0" borderId="0" xfId="0" applyFont="1" applyAlignment="1"/>
    <xf numFmtId="0" fontId="3" fillId="0" borderId="4" xfId="0" applyFont="1" applyBorder="1" applyAlignment="1">
      <alignment horizontal="center"/>
    </xf>
    <xf numFmtId="0" fontId="4" fillId="0" borderId="0" xfId="0" applyFont="1"/>
    <xf numFmtId="0" fontId="5" fillId="3" borderId="8" xfId="0" applyFont="1" applyFill="1" applyBorder="1"/>
    <xf numFmtId="0" fontId="5" fillId="0" borderId="0" xfId="0" applyFont="1"/>
    <xf numFmtId="0" fontId="5" fillId="0" borderId="9" xfId="0" applyFont="1" applyBorder="1"/>
    <xf numFmtId="0" fontId="5" fillId="0" borderId="10" xfId="0" applyFont="1" applyBorder="1"/>
    <xf numFmtId="0" fontId="5" fillId="4" borderId="8" xfId="0" applyFont="1" applyFill="1" applyBorder="1"/>
    <xf numFmtId="0" fontId="5" fillId="5" borderId="8" xfId="0" applyFont="1" applyFill="1" applyBorder="1"/>
    <xf numFmtId="0" fontId="5" fillId="0" borderId="11" xfId="0" applyFont="1" applyBorder="1"/>
    <xf numFmtId="0" fontId="5" fillId="0" borderId="12" xfId="0" applyFont="1" applyBorder="1"/>
    <xf numFmtId="0" fontId="5" fillId="0" borderId="13" xfId="0" applyFont="1" applyBorder="1"/>
    <xf numFmtId="0" fontId="5" fillId="0" borderId="14" xfId="0" applyFont="1" applyBorder="1"/>
    <xf numFmtId="0" fontId="6" fillId="0" borderId="0" xfId="0" applyFont="1"/>
    <xf numFmtId="0" fontId="7" fillId="3" borderId="15" xfId="0" applyFont="1" applyFill="1" applyBorder="1"/>
    <xf numFmtId="0" fontId="8" fillId="3" borderId="15" xfId="0" applyFont="1" applyFill="1" applyBorder="1" applyAlignment="1">
      <alignment horizontal="left"/>
    </xf>
    <xf numFmtId="0" fontId="9" fillId="2" borderId="15" xfId="0" applyFont="1" applyFill="1" applyBorder="1"/>
    <xf numFmtId="0" fontId="12" fillId="6" borderId="15" xfId="0" applyFont="1" applyFill="1" applyBorder="1" applyAlignment="1">
      <alignment wrapText="1"/>
    </xf>
    <xf numFmtId="0" fontId="13" fillId="0" borderId="0" xfId="0" applyFont="1" applyAlignment="1">
      <alignment vertical="top"/>
    </xf>
    <xf numFmtId="0" fontId="5" fillId="0" borderId="0" xfId="0" applyFont="1"/>
    <xf numFmtId="0" fontId="14" fillId="0" borderId="0" xfId="0" applyFont="1"/>
    <xf numFmtId="0" fontId="15" fillId="0" borderId="0" xfId="0" applyFont="1"/>
    <xf numFmtId="0" fontId="5" fillId="2" borderId="15" xfId="0" applyFont="1" applyFill="1" applyBorder="1"/>
    <xf numFmtId="0" fontId="16" fillId="0" borderId="0" xfId="0" applyFont="1"/>
    <xf numFmtId="2" fontId="5" fillId="0" borderId="0" xfId="0" applyNumberFormat="1" applyFont="1"/>
    <xf numFmtId="0" fontId="17" fillId="0" borderId="0" xfId="0" applyFont="1" applyAlignment="1"/>
    <xf numFmtId="0" fontId="17" fillId="0" borderId="0" xfId="0" applyFont="1" applyAlignment="1">
      <alignment wrapText="1"/>
    </xf>
    <xf numFmtId="0" fontId="5" fillId="0" borderId="0" xfId="0" applyFont="1" applyAlignment="1">
      <alignment wrapText="1"/>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2" fillId="0" borderId="5" xfId="0" applyFont="1" applyBorder="1"/>
    <xf numFmtId="0" fontId="2" fillId="0" borderId="6" xfId="0" applyFont="1" applyBorder="1"/>
    <xf numFmtId="0" fontId="2" fillId="0" borderId="7" xfId="0" applyFont="1" applyBorder="1"/>
    <xf numFmtId="0" fontId="0" fillId="0" borderId="0" xfId="0"/>
    <xf numFmtId="16" fontId="17" fillId="0" borderId="0" xfId="0" quotePrefix="1" applyNumberFormat="1" applyFont="1"/>
    <xf numFmtId="0" fontId="10" fillId="7" borderId="15" xfId="0" applyFont="1" applyFill="1" applyBorder="1"/>
    <xf numFmtId="0" fontId="11" fillId="8" borderId="15" xfId="0" applyFont="1" applyFill="1" applyBorder="1" applyAlignment="1">
      <alignment wrapText="1"/>
    </xf>
    <xf numFmtId="0" fontId="17" fillId="0" borderId="0" xfId="0" applyFont="1"/>
  </cellXfs>
  <cellStyles count="1">
    <cellStyle name="Normal" xfId="0" builtinId="0"/>
  </cellStyles>
  <dxfs count="4">
    <dxf>
      <font>
        <b val="0"/>
        <i val="0"/>
        <strike val="0"/>
        <condense val="0"/>
        <extend val="0"/>
        <outline val="0"/>
        <shadow val="0"/>
        <u val="none"/>
        <vertAlign val="baseline"/>
        <sz val="10"/>
        <color theme="1"/>
        <name val="Arial"/>
        <family val="2"/>
        <scheme val="none"/>
      </font>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s>
  <tableStyles count="1">
    <tableStyle name="Glossary-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W153">
  <tableColumns count="49">
    <tableColumn id="1" xr3:uid="{00000000-0010-0000-0000-000001000000}" name="Compound name given in datasets"/>
    <tableColumn id="2" xr3:uid="{00000000-0010-0000-0000-000002000000}" name="Compound name for sorting"/>
    <tableColumn id="33" xr3:uid="{883BBB75-12F7-4BF7-8782-C7C744A94BEA}" name="Chemical formula" dataDxfId="0"/>
    <tableColumn id="3" xr3:uid="{00000000-0010-0000-0000-000003000000}" name="a.k.a.s"/>
    <tableColumn id="5" xr3:uid="{00000000-0010-0000-0000-000005000000}" name="CASRN"/>
    <tableColumn id="6" xr3:uid="{00000000-0010-0000-0000-000006000000}" name="InChIKey"/>
    <tableColumn id="7" xr3:uid="{00000000-0010-0000-0000-000007000000}" name="Primary"/>
    <tableColumn id="8" xr3:uid="{00000000-0010-0000-0000-000008000000}" name="Secondary"/>
    <tableColumn id="9" xr3:uid="{00000000-0010-0000-0000-000009000000}" name="Tertiary"/>
    <tableColumn id="10" xr3:uid="{00000000-0010-0000-0000-00000A000000}" name="Aromatic"/>
    <tableColumn id="11" xr3:uid="{00000000-0010-0000-0000-00000B000000}" name="BTEXMN"/>
    <tableColumn id="12" xr3:uid="{00000000-0010-0000-0000-00000C000000}" name="DBP"/>
    <tableColumn id="13" xr3:uid="{00000000-0010-0000-0000-00000D000000}" name="Known JP-5 component"/>
    <tableColumn id="14" xr3:uid="{00000000-0010-0000-0000-00000E000000}" name="PAH"/>
    <tableColumn id="15" xr3:uid="{00000000-0010-0000-0000-00000F000000}" name="Pesticide"/>
    <tableColumn id="17" xr3:uid="{00000000-0010-0000-0000-000011000000}" name="C"/>
    <tableColumn id="18" xr3:uid="{00000000-0010-0000-0000-000012000000}" name="N"/>
    <tableColumn id="19" xr3:uid="{00000000-0010-0000-0000-000013000000}" name="F"/>
    <tableColumn id="20" xr3:uid="{00000000-0010-0000-0000-000014000000}" name="Cl"/>
    <tableColumn id="21" xr3:uid="{00000000-0010-0000-0000-000015000000}" name="Br"/>
    <tableColumn id="22" xr3:uid="{00000000-0010-0000-0000-000016000000}" name="1° alcohols"/>
    <tableColumn id="23" xr3:uid="{00000000-0010-0000-0000-000017000000}" name="2° alcohols"/>
    <tableColumn id="24" xr3:uid="{00000000-0010-0000-0000-000018000000}" name="3° alcohols"/>
    <tableColumn id="25" xr3:uid="{00000000-0010-0000-0000-000019000000}" name="Ethers"/>
    <tableColumn id="26" xr3:uid="{00000000-0010-0000-0000-00001A000000}" name="Ketones"/>
    <tableColumn id="27" xr3:uid="{00000000-0010-0000-0000-00001B000000}" name="Aldehydes"/>
    <tableColumn id="28" xr3:uid="{00000000-0010-0000-0000-00001C000000}" name="Esters"/>
    <tableColumn id="29" xr3:uid="{00000000-0010-0000-0000-00001D000000}" name="Epoxides"/>
    <tableColumn id="30" xr3:uid="{00000000-0010-0000-0000-00001E000000}" name="Amines"/>
    <tableColumn id="31" xr3:uid="{00000000-0010-0000-0000-00001F000000}" name="Halogenated"/>
    <tableColumn id="32" xr3:uid="{00000000-0010-0000-0000-000020000000}" name="Saturated"/>
    <tableColumn id="34" xr3:uid="{00000000-0010-0000-0000-000022000000}" name="NPDWR MCLG (mg/L)"/>
    <tableColumn id="35" xr3:uid="{00000000-0010-0000-0000-000023000000}" name="NPDWR MCL (mg/L)"/>
    <tableColumn id="36" xr3:uid="{00000000-0010-0000-0000-000024000000}" name="NPDWR notes"/>
    <tableColumn id="37" xr3:uid="{00000000-0010-0000-0000-000025000000}" name="SMCL (mg/L)"/>
    <tableColumn id="38" xr3:uid="{00000000-0010-0000-0000-000026000000}" name="CCL5"/>
    <tableColumn id="40" xr3:uid="{00000000-0010-0000-0000-000028000000}" name="HDOH MCL (mg/L)"/>
    <tableColumn id="41" xr3:uid="{00000000-0010-0000-0000-000029000000}" name="HDOH more stringent"/>
    <tableColumn id="42" xr3:uid="{00000000-0010-0000-0000-00002A000000}" name="Montreal Protocol"/>
    <tableColumn id="43" xr3:uid="{00000000-0010-0000-0000-00002B000000}" name="Stockholm Convention"/>
    <tableColumn id="44" xr3:uid="{00000000-0010-0000-0000-00002C000000}" name="Sources"/>
    <tableColumn id="45" xr3:uid="{00000000-0010-0000-0000-00002D000000}" name="Notes"/>
    <tableColumn id="46" xr3:uid="{00000000-0010-0000-0000-00002E000000}" name="Footnotes"/>
    <tableColumn id="47" xr3:uid="{00000000-0010-0000-0000-00002F000000}" name="Immediate"/>
    <tableColumn id="48" xr3:uid="{00000000-0010-0000-0000-000030000000}" name="Flushing reports"/>
    <tableColumn id="49" xr3:uid="{00000000-0010-0000-0000-000031000000}" name="LTM plan"/>
    <tableColumn id="50" xr3:uid="{00000000-0010-0000-0000-000032000000}" name="EDWM plan"/>
    <tableColumn id="51" xr3:uid="{00000000-0010-0000-0000-000033000000}" name="SafeWaters data (old scrape)"/>
    <tableColumn id="52" xr3:uid="{00000000-0010-0000-0000-000034000000}" name="SafeWaters data (checking 2026-06-22)"/>
  </tableColumns>
  <tableStyleInfo name="Glossa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2"/>
  <sheetViews>
    <sheetView tabSelected="1" workbookViewId="0">
      <selection sqref="A1:F2"/>
    </sheetView>
  </sheetViews>
  <sheetFormatPr defaultColWidth="12.5703125" defaultRowHeight="15" customHeight="1" x14ac:dyDescent="0.2"/>
  <cols>
    <col min="1" max="7" width="8.85546875" customWidth="1"/>
    <col min="8" max="8" width="30.85546875" customWidth="1"/>
    <col min="9" max="26" width="8.85546875" customWidth="1"/>
  </cols>
  <sheetData>
    <row r="1" spans="1:10" ht="12.75" customHeight="1" x14ac:dyDescent="0.2">
      <c r="A1" s="28" t="s">
        <v>0</v>
      </c>
      <c r="B1" s="29"/>
      <c r="C1" s="29"/>
      <c r="D1" s="29"/>
      <c r="E1" s="29"/>
      <c r="F1" s="30"/>
      <c r="H1" s="1" t="s">
        <v>1</v>
      </c>
      <c r="J1" s="2" t="s">
        <v>2</v>
      </c>
    </row>
    <row r="2" spans="1:10" ht="12.75" customHeight="1" x14ac:dyDescent="0.2">
      <c r="A2" s="31"/>
      <c r="B2" s="32"/>
      <c r="C2" s="32"/>
      <c r="D2" s="32"/>
      <c r="E2" s="32"/>
      <c r="F2" s="33"/>
      <c r="H2" s="3" t="s">
        <v>3</v>
      </c>
      <c r="J2" s="4" t="s">
        <v>4</v>
      </c>
    </row>
    <row r="3" spans="1:10" ht="12.75" customHeight="1" x14ac:dyDescent="0.2">
      <c r="A3" s="5" t="s">
        <v>5</v>
      </c>
      <c r="F3" s="6"/>
      <c r="H3" s="7" t="s">
        <v>6</v>
      </c>
      <c r="J3" s="4" t="s">
        <v>7</v>
      </c>
    </row>
    <row r="4" spans="1:10" ht="12.75" customHeight="1" x14ac:dyDescent="0.2">
      <c r="A4" s="5" t="s">
        <v>8</v>
      </c>
      <c r="F4" s="6"/>
      <c r="H4" s="8" t="s">
        <v>9</v>
      </c>
      <c r="J4" s="4"/>
    </row>
    <row r="5" spans="1:10" ht="12.75" customHeight="1" x14ac:dyDescent="0.2">
      <c r="A5" s="9" t="s">
        <v>10</v>
      </c>
      <c r="B5" s="10"/>
      <c r="C5" s="10"/>
      <c r="D5" s="10"/>
      <c r="E5" s="10"/>
      <c r="F5" s="11"/>
      <c r="H5" s="12" t="s">
        <v>11</v>
      </c>
    </row>
    <row r="6" spans="1:10" ht="12.75" customHeight="1" x14ac:dyDescent="0.2"/>
    <row r="7" spans="1:10" ht="12.75" customHeight="1" x14ac:dyDescent="0.2">
      <c r="A7" s="2" t="s">
        <v>12</v>
      </c>
    </row>
    <row r="8" spans="1:10" ht="12.75" customHeight="1" x14ac:dyDescent="0.2">
      <c r="A8" s="13" t="s">
        <v>13</v>
      </c>
    </row>
    <row r="9" spans="1:10" ht="12.75" customHeight="1" x14ac:dyDescent="0.2">
      <c r="A9" s="4" t="s">
        <v>14</v>
      </c>
    </row>
    <row r="10" spans="1:10" ht="12.75" customHeight="1" x14ac:dyDescent="0.2">
      <c r="A10" s="4" t="s">
        <v>15</v>
      </c>
    </row>
    <row r="11" spans="1:10" ht="12.75" customHeight="1" x14ac:dyDescent="0.2">
      <c r="B11" s="4" t="s">
        <v>16</v>
      </c>
    </row>
    <row r="12" spans="1:10" ht="12.75" customHeight="1" x14ac:dyDescent="0.2">
      <c r="B12" s="4" t="s">
        <v>17</v>
      </c>
    </row>
    <row r="13" spans="1:10" ht="12.75" customHeight="1" x14ac:dyDescent="0.2">
      <c r="B13" s="4" t="s">
        <v>18</v>
      </c>
    </row>
    <row r="14" spans="1:10" ht="12.75" customHeight="1" x14ac:dyDescent="0.2">
      <c r="A14" s="4" t="s">
        <v>19</v>
      </c>
    </row>
    <row r="15" spans="1:10" ht="12.75" customHeight="1" x14ac:dyDescent="0.2"/>
    <row r="16" spans="1:10" ht="12.75" customHeight="1" x14ac:dyDescent="0.2">
      <c r="A16" s="13" t="s">
        <v>20</v>
      </c>
    </row>
    <row r="17" spans="1:4" ht="12.75" customHeight="1" x14ac:dyDescent="0.2">
      <c r="A17" s="4" t="s">
        <v>21</v>
      </c>
    </row>
    <row r="18" spans="1:4" ht="12.75" customHeight="1" x14ac:dyDescent="0.2">
      <c r="A18" s="4" t="s">
        <v>22</v>
      </c>
    </row>
    <row r="19" spans="1:4" ht="12.75" customHeight="1" x14ac:dyDescent="0.2">
      <c r="B19" s="4" t="s">
        <v>23</v>
      </c>
    </row>
    <row r="20" spans="1:4" ht="12.75" customHeight="1" x14ac:dyDescent="0.2">
      <c r="B20" s="4" t="s">
        <v>24</v>
      </c>
    </row>
    <row r="21" spans="1:4" ht="12.75" customHeight="1" x14ac:dyDescent="0.2">
      <c r="C21" s="4" t="s">
        <v>25</v>
      </c>
    </row>
    <row r="22" spans="1:4" ht="12.75" customHeight="1" x14ac:dyDescent="0.2">
      <c r="C22" s="4" t="s">
        <v>26</v>
      </c>
    </row>
    <row r="23" spans="1:4" ht="12.75" customHeight="1" x14ac:dyDescent="0.2">
      <c r="B23" s="4" t="s">
        <v>27</v>
      </c>
    </row>
    <row r="24" spans="1:4" ht="12.75" customHeight="1" x14ac:dyDescent="0.2">
      <c r="B24" s="4" t="s">
        <v>28</v>
      </c>
    </row>
    <row r="25" spans="1:4" ht="12.75" customHeight="1" x14ac:dyDescent="0.2">
      <c r="A25" s="4" t="s">
        <v>29</v>
      </c>
    </row>
    <row r="26" spans="1:4" ht="12.75" customHeight="1" x14ac:dyDescent="0.2">
      <c r="B26" s="4" t="s">
        <v>30</v>
      </c>
    </row>
    <row r="27" spans="1:4" ht="12.75" customHeight="1" x14ac:dyDescent="0.2">
      <c r="B27" s="4" t="s">
        <v>31</v>
      </c>
    </row>
    <row r="28" spans="1:4" ht="12.75" customHeight="1" x14ac:dyDescent="0.2">
      <c r="C28" s="4" t="s">
        <v>32</v>
      </c>
    </row>
    <row r="29" spans="1:4" ht="12.75" customHeight="1" x14ac:dyDescent="0.2">
      <c r="C29" s="4" t="s">
        <v>33</v>
      </c>
    </row>
    <row r="30" spans="1:4" ht="12.75" customHeight="1" x14ac:dyDescent="0.2">
      <c r="C30" s="4" t="s">
        <v>34</v>
      </c>
    </row>
    <row r="31" spans="1:4" ht="12.75" customHeight="1" x14ac:dyDescent="0.2">
      <c r="C31" s="4"/>
      <c r="D31" s="4" t="s">
        <v>35</v>
      </c>
    </row>
    <row r="32" spans="1:4" ht="12.75" customHeight="1" x14ac:dyDescent="0.2">
      <c r="C32" s="4"/>
      <c r="D32" s="4" t="s">
        <v>36</v>
      </c>
    </row>
    <row r="33" spans="1:3" ht="12.75" customHeight="1" x14ac:dyDescent="0.2">
      <c r="C33" s="4" t="s">
        <v>37</v>
      </c>
    </row>
    <row r="34" spans="1:3" ht="12.75" customHeight="1" x14ac:dyDescent="0.2">
      <c r="C34" s="4" t="s">
        <v>1050</v>
      </c>
    </row>
    <row r="35" spans="1:3" ht="12.75" customHeight="1" x14ac:dyDescent="0.2">
      <c r="A35" s="4" t="s">
        <v>38</v>
      </c>
    </row>
    <row r="36" spans="1:3" ht="12.75" customHeight="1" x14ac:dyDescent="0.2">
      <c r="A36" s="4" t="s">
        <v>39</v>
      </c>
    </row>
    <row r="37" spans="1:3" ht="12.75" customHeight="1" x14ac:dyDescent="0.2">
      <c r="A37" s="4" t="s">
        <v>40</v>
      </c>
    </row>
    <row r="38" spans="1:3" ht="12.75" customHeight="1" x14ac:dyDescent="0.2">
      <c r="B38" s="4" t="s">
        <v>41</v>
      </c>
    </row>
    <row r="39" spans="1:3" ht="12.75" customHeight="1" x14ac:dyDescent="0.2">
      <c r="C39" s="4" t="s">
        <v>42</v>
      </c>
    </row>
    <row r="40" spans="1:3" ht="12.75" customHeight="1" x14ac:dyDescent="0.2">
      <c r="C40" s="4" t="s">
        <v>43</v>
      </c>
    </row>
    <row r="41" spans="1:3" ht="12.75" customHeight="1" x14ac:dyDescent="0.2">
      <c r="C41" s="4" t="s">
        <v>44</v>
      </c>
    </row>
    <row r="42" spans="1:3" ht="12.75" customHeight="1" x14ac:dyDescent="0.2">
      <c r="B42" s="4" t="s">
        <v>45</v>
      </c>
    </row>
    <row r="43" spans="1:3" ht="12.75" customHeight="1" x14ac:dyDescent="0.2">
      <c r="C43" s="4" t="s">
        <v>46</v>
      </c>
    </row>
    <row r="44" spans="1:3" ht="12.75" customHeight="1" x14ac:dyDescent="0.2">
      <c r="C44" s="4" t="s">
        <v>47</v>
      </c>
    </row>
    <row r="45" spans="1:3" ht="12.75" customHeight="1" x14ac:dyDescent="0.2">
      <c r="C45" s="4" t="s">
        <v>48</v>
      </c>
    </row>
    <row r="46" spans="1:3" ht="12.75" customHeight="1" x14ac:dyDescent="0.2">
      <c r="C46" s="4" t="s">
        <v>49</v>
      </c>
    </row>
    <row r="47" spans="1:3" ht="12.75" customHeight="1" x14ac:dyDescent="0.2">
      <c r="B47" s="4" t="s">
        <v>50</v>
      </c>
    </row>
    <row r="48" spans="1:3" ht="12.75" customHeight="1" x14ac:dyDescent="0.2">
      <c r="C48" s="4" t="s">
        <v>51</v>
      </c>
    </row>
    <row r="49" spans="1:4" ht="12.75" customHeight="1" x14ac:dyDescent="0.2">
      <c r="C49" s="4" t="s">
        <v>52</v>
      </c>
    </row>
    <row r="50" spans="1:4" ht="12.75" customHeight="1" x14ac:dyDescent="0.2">
      <c r="A50" s="4" t="s">
        <v>53</v>
      </c>
    </row>
    <row r="51" spans="1:4" ht="12.75" customHeight="1" x14ac:dyDescent="0.2">
      <c r="B51" s="4" t="s">
        <v>54</v>
      </c>
    </row>
    <row r="52" spans="1:4" ht="12.75" customHeight="1" x14ac:dyDescent="0.2">
      <c r="B52" s="4" t="s">
        <v>55</v>
      </c>
    </row>
    <row r="53" spans="1:4" ht="12.75" customHeight="1" x14ac:dyDescent="0.2">
      <c r="B53" s="4" t="s">
        <v>56</v>
      </c>
    </row>
    <row r="54" spans="1:4" ht="12.75" customHeight="1" x14ac:dyDescent="0.2">
      <c r="B54" s="4" t="s">
        <v>57</v>
      </c>
    </row>
    <row r="55" spans="1:4" ht="12.75" customHeight="1" x14ac:dyDescent="0.2">
      <c r="C55" s="4" t="s">
        <v>58</v>
      </c>
    </row>
    <row r="56" spans="1:4" ht="12.75" customHeight="1" x14ac:dyDescent="0.2">
      <c r="D56" s="4" t="s">
        <v>59</v>
      </c>
    </row>
    <row r="57" spans="1:4" ht="12.75" customHeight="1" x14ac:dyDescent="0.2">
      <c r="D57" s="4" t="s">
        <v>60</v>
      </c>
    </row>
    <row r="58" spans="1:4" ht="12.75" customHeight="1" x14ac:dyDescent="0.2">
      <c r="D58" s="4" t="s">
        <v>61</v>
      </c>
    </row>
    <row r="59" spans="1:4" ht="12.75" customHeight="1" x14ac:dyDescent="0.2">
      <c r="C59" s="4" t="s">
        <v>62</v>
      </c>
    </row>
    <row r="60" spans="1:4" ht="12.75" customHeight="1" x14ac:dyDescent="0.2">
      <c r="B60" s="4" t="s">
        <v>63</v>
      </c>
    </row>
    <row r="61" spans="1:4" ht="12.75" customHeight="1" x14ac:dyDescent="0.2">
      <c r="A61" s="4" t="s">
        <v>64</v>
      </c>
    </row>
    <row r="62" spans="1:4" ht="12.75" customHeight="1" x14ac:dyDescent="0.2">
      <c r="B62" s="4" t="s">
        <v>65</v>
      </c>
    </row>
    <row r="63" spans="1:4" ht="12.75" customHeight="1" x14ac:dyDescent="0.2">
      <c r="B63" s="4" t="s">
        <v>66</v>
      </c>
    </row>
    <row r="64" spans="1:4" ht="12.75" customHeight="1" x14ac:dyDescent="0.2">
      <c r="A64" s="4" t="s">
        <v>67</v>
      </c>
    </row>
    <row r="65" spans="2:2" ht="12.75" customHeight="1" x14ac:dyDescent="0.2">
      <c r="B65" s="4" t="s">
        <v>68</v>
      </c>
    </row>
    <row r="66" spans="2:2" ht="12.75" customHeight="1" x14ac:dyDescent="0.2">
      <c r="B66" s="4" t="s">
        <v>69</v>
      </c>
    </row>
    <row r="67" spans="2:2" ht="12.75" customHeight="1" x14ac:dyDescent="0.2">
      <c r="B67" s="4" t="s">
        <v>70</v>
      </c>
    </row>
    <row r="68" spans="2:2" ht="12.75" customHeight="1" x14ac:dyDescent="0.2"/>
    <row r="69" spans="2:2" ht="12.75" customHeight="1" x14ac:dyDescent="0.2"/>
    <row r="70" spans="2:2" ht="12.75" customHeight="1" x14ac:dyDescent="0.2"/>
    <row r="71" spans="2:2" ht="12.75" customHeight="1" x14ac:dyDescent="0.2"/>
    <row r="72" spans="2:2" ht="12.75" customHeight="1" x14ac:dyDescent="0.2"/>
    <row r="73" spans="2:2" ht="12.75" customHeight="1" x14ac:dyDescent="0.2"/>
    <row r="74" spans="2:2" ht="12.75" customHeight="1" x14ac:dyDescent="0.2"/>
    <row r="75" spans="2:2" ht="12.75" customHeight="1" x14ac:dyDescent="0.2"/>
    <row r="76" spans="2:2" ht="12.75" customHeight="1" x14ac:dyDescent="0.2"/>
    <row r="77" spans="2:2" ht="12.75" customHeight="1" x14ac:dyDescent="0.2"/>
    <row r="78" spans="2:2" ht="12.75" customHeight="1" x14ac:dyDescent="0.2"/>
    <row r="79" spans="2:2" ht="12.75" customHeight="1" x14ac:dyDescent="0.2"/>
    <row r="80" spans="2:2"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sheetData>
  <mergeCells count="1">
    <mergeCell ref="A1:F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000"/>
  <sheetViews>
    <sheetView zoomScaleNormal="100" workbookViewId="0"/>
  </sheetViews>
  <sheetFormatPr defaultColWidth="12.5703125" defaultRowHeight="15" customHeight="1" x14ac:dyDescent="0.2"/>
  <cols>
    <col min="1" max="1" width="27.28515625" customWidth="1"/>
    <col min="2" max="2" width="25.7109375" customWidth="1"/>
    <col min="3" max="3" width="16.28515625" bestFit="1" customWidth="1"/>
    <col min="4" max="4" width="45" customWidth="1"/>
    <col min="6" max="6" width="28.42578125" customWidth="1"/>
    <col min="7" max="7" width="25.85546875" bestFit="1" customWidth="1"/>
    <col min="8" max="8" width="29.28515625" bestFit="1" customWidth="1"/>
    <col min="9" max="9" width="27" bestFit="1" customWidth="1"/>
    <col min="10" max="10" width="23.7109375" customWidth="1"/>
    <col min="11" max="11" width="7.5703125" customWidth="1"/>
    <col min="12" max="12" width="8" customWidth="1"/>
    <col min="13" max="13" width="5.42578125" customWidth="1"/>
    <col min="14" max="14" width="18.7109375" customWidth="1"/>
    <col min="15" max="15" width="11.42578125" bestFit="1" customWidth="1"/>
    <col min="16" max="16" width="8" customWidth="1"/>
    <col min="17" max="21" width="3.7109375" customWidth="1"/>
    <col min="22" max="24" width="9.140625" customWidth="1"/>
    <col min="25" max="25" width="5.85546875" customWidth="1"/>
    <col min="26" max="26" width="7.140625" customWidth="1"/>
    <col min="27" max="27" width="8.7109375" customWidth="1"/>
    <col min="28" max="28" width="5.7109375" customWidth="1"/>
    <col min="29" max="29" width="7.85546875" customWidth="1"/>
    <col min="30" max="30" width="6.42578125" customWidth="1"/>
    <col min="31" max="31" width="10.42578125" customWidth="1"/>
    <col min="32" max="32" width="8.28515625" customWidth="1"/>
    <col min="33" max="33" width="17.85546875" customWidth="1"/>
    <col min="34" max="34" width="16.42578125" customWidth="1"/>
    <col min="35" max="35" width="43" customWidth="1"/>
    <col min="36" max="36" width="10.85546875" customWidth="1"/>
    <col min="37" max="37" width="5.42578125" customWidth="1"/>
    <col min="38" max="38" width="15.140625" customWidth="1"/>
    <col min="39" max="39" width="17" customWidth="1"/>
    <col min="40" max="40" width="14" customWidth="1"/>
    <col min="41" max="41" width="43.28515625" customWidth="1"/>
    <col min="42" max="42" width="33.5703125" customWidth="1"/>
    <col min="43" max="43" width="9.85546875" bestFit="1" customWidth="1"/>
    <col min="44" max="44" width="9" customWidth="1"/>
    <col min="45" max="45" width="8.7109375" customWidth="1"/>
    <col min="46" max="46" width="13" customWidth="1"/>
    <col min="47" max="47" width="7.85546875" customWidth="1"/>
    <col min="48" max="48" width="9.85546875" customWidth="1"/>
    <col min="49" max="49" width="22.5703125" customWidth="1"/>
    <col min="50" max="50" width="30.42578125" customWidth="1"/>
  </cols>
  <sheetData>
    <row r="1" spans="1:49" ht="12.75" customHeight="1" x14ac:dyDescent="0.2">
      <c r="A1" s="14" t="s">
        <v>75</v>
      </c>
      <c r="B1" s="14" t="s">
        <v>76</v>
      </c>
      <c r="C1" s="14" t="s">
        <v>1048</v>
      </c>
      <c r="D1" s="14" t="s">
        <v>77</v>
      </c>
      <c r="E1" s="15" t="s">
        <v>78</v>
      </c>
      <c r="F1" s="15" t="s">
        <v>79</v>
      </c>
      <c r="G1" s="16" t="s">
        <v>80</v>
      </c>
      <c r="H1" s="16" t="s">
        <v>81</v>
      </c>
      <c r="I1" s="16" t="s">
        <v>82</v>
      </c>
      <c r="J1" s="14" t="s">
        <v>83</v>
      </c>
      <c r="K1" s="14" t="s">
        <v>84</v>
      </c>
      <c r="L1" s="14" t="s">
        <v>85</v>
      </c>
      <c r="M1" s="14" t="s">
        <v>86</v>
      </c>
      <c r="N1" s="14" t="s">
        <v>87</v>
      </c>
      <c r="O1" s="36" t="s">
        <v>88</v>
      </c>
      <c r="P1" s="14" t="s">
        <v>74</v>
      </c>
      <c r="Q1" s="14" t="s">
        <v>89</v>
      </c>
      <c r="R1" s="14" t="s">
        <v>90</v>
      </c>
      <c r="S1" s="14" t="s">
        <v>91</v>
      </c>
      <c r="T1" s="14" t="s">
        <v>92</v>
      </c>
      <c r="U1" s="14" t="s">
        <v>93</v>
      </c>
      <c r="V1" s="14" t="s">
        <v>94</v>
      </c>
      <c r="W1" s="14" t="s">
        <v>95</v>
      </c>
      <c r="X1" s="14" t="s">
        <v>47</v>
      </c>
      <c r="Y1" s="14" t="s">
        <v>96</v>
      </c>
      <c r="Z1" s="14" t="s">
        <v>97</v>
      </c>
      <c r="AA1" s="14" t="s">
        <v>49</v>
      </c>
      <c r="AB1" s="14" t="s">
        <v>98</v>
      </c>
      <c r="AC1" s="14" t="s">
        <v>99</v>
      </c>
      <c r="AD1" s="14" t="s">
        <v>100</v>
      </c>
      <c r="AE1" s="14" t="s">
        <v>101</v>
      </c>
      <c r="AF1" s="14" t="s">
        <v>102</v>
      </c>
      <c r="AG1" s="14" t="s">
        <v>103</v>
      </c>
      <c r="AH1" s="14" t="s">
        <v>104</v>
      </c>
      <c r="AI1" s="14" t="s">
        <v>105</v>
      </c>
      <c r="AJ1" s="37" t="s">
        <v>106</v>
      </c>
      <c r="AK1" s="17" t="s">
        <v>107</v>
      </c>
      <c r="AL1" s="17" t="s">
        <v>108</v>
      </c>
      <c r="AM1" s="14" t="s">
        <v>109</v>
      </c>
      <c r="AN1" s="14" t="s">
        <v>110</v>
      </c>
      <c r="AO1" s="14" t="s">
        <v>111</v>
      </c>
      <c r="AP1" s="18" t="s">
        <v>112</v>
      </c>
      <c r="AQ1" s="18" t="s">
        <v>71</v>
      </c>
      <c r="AR1" s="14" t="s">
        <v>113</v>
      </c>
      <c r="AS1" s="16" t="s">
        <v>114</v>
      </c>
      <c r="AT1" s="14" t="s">
        <v>115</v>
      </c>
      <c r="AU1" s="14" t="s">
        <v>116</v>
      </c>
      <c r="AV1" s="14" t="s">
        <v>117</v>
      </c>
      <c r="AW1" s="16" t="s">
        <v>118</v>
      </c>
    </row>
    <row r="2" spans="1:49" ht="12.75" customHeight="1" x14ac:dyDescent="0.2">
      <c r="A2" s="19" t="s">
        <v>119</v>
      </c>
      <c r="B2" s="19" t="s">
        <v>119</v>
      </c>
      <c r="C2" s="34" t="s">
        <v>950</v>
      </c>
      <c r="D2" s="34" t="s">
        <v>120</v>
      </c>
      <c r="E2" s="19" t="s">
        <v>121</v>
      </c>
      <c r="F2" s="19" t="s">
        <v>122</v>
      </c>
      <c r="G2" s="19" t="s">
        <v>123</v>
      </c>
      <c r="H2" s="19"/>
      <c r="I2" s="19"/>
      <c r="J2" s="19"/>
      <c r="K2" s="19"/>
      <c r="L2" s="19"/>
      <c r="M2" s="19" t="b">
        <v>1</v>
      </c>
      <c r="N2" s="19"/>
      <c r="O2" s="19"/>
      <c r="P2" s="34">
        <v>5</v>
      </c>
      <c r="Q2" s="34">
        <v>0</v>
      </c>
      <c r="R2" s="34">
        <v>0</v>
      </c>
      <c r="S2" s="34">
        <v>0</v>
      </c>
      <c r="T2" s="34">
        <v>0</v>
      </c>
      <c r="U2" s="19">
        <v>1</v>
      </c>
      <c r="V2" s="19"/>
      <c r="W2" s="19"/>
      <c r="X2" s="19">
        <v>2</v>
      </c>
      <c r="Y2" s="19"/>
      <c r="Z2" s="19"/>
      <c r="AA2" s="19"/>
      <c r="AB2" s="19"/>
      <c r="AC2" s="19"/>
      <c r="AD2" s="19" t="b">
        <f>OR(Glossary!$R2&gt;0,Glossary!$S2&gt;0,Glossary!$T2&gt;0)</f>
        <v>0</v>
      </c>
      <c r="AE2" s="19" t="b">
        <v>1</v>
      </c>
      <c r="AF2" s="19"/>
      <c r="AG2" s="19"/>
      <c r="AH2" s="19"/>
      <c r="AI2" s="19"/>
      <c r="AJ2" s="19"/>
      <c r="AK2" s="19"/>
      <c r="AL2" s="19" t="str">
        <f t="shared" ref="AL2:AL33" si="0">IF(ISBLANK(AK2),"",AK2&lt;AG2)</f>
        <v/>
      </c>
      <c r="AM2" s="19"/>
      <c r="AN2" s="19"/>
      <c r="AO2" s="19" t="s">
        <v>124</v>
      </c>
      <c r="AP2" s="19"/>
      <c r="AQ2" s="19"/>
      <c r="AR2" s="19" t="b">
        <v>1</v>
      </c>
      <c r="AS2" s="19"/>
      <c r="AT2" s="19"/>
      <c r="AU2" s="19" t="b">
        <v>1</v>
      </c>
      <c r="AV2" s="19" t="b">
        <v>1</v>
      </c>
      <c r="AW2" s="19"/>
    </row>
    <row r="3" spans="1:49" ht="12.75" customHeight="1" x14ac:dyDescent="0.2">
      <c r="A3" s="19" t="s">
        <v>125</v>
      </c>
      <c r="B3" s="19" t="s">
        <v>126</v>
      </c>
      <c r="C3" s="34" t="s">
        <v>951</v>
      </c>
      <c r="D3" s="34" t="s">
        <v>127</v>
      </c>
      <c r="E3" s="19" t="s">
        <v>128</v>
      </c>
      <c r="F3" s="19" t="s">
        <v>129</v>
      </c>
      <c r="G3" s="19" t="s">
        <v>83</v>
      </c>
      <c r="H3" s="19" t="s">
        <v>87</v>
      </c>
      <c r="I3" s="19" t="s">
        <v>130</v>
      </c>
      <c r="J3" s="19" t="b">
        <v>1</v>
      </c>
      <c r="K3" s="19"/>
      <c r="L3" s="19"/>
      <c r="M3" s="19"/>
      <c r="N3" s="19" t="b">
        <v>1</v>
      </c>
      <c r="O3" s="19"/>
      <c r="P3" s="34">
        <v>12</v>
      </c>
      <c r="Q3" s="34">
        <v>0</v>
      </c>
      <c r="R3" s="34">
        <v>0</v>
      </c>
      <c r="S3" s="34">
        <v>0</v>
      </c>
      <c r="T3" s="34">
        <v>0</v>
      </c>
      <c r="U3" s="19"/>
      <c r="V3" s="19"/>
      <c r="W3" s="19"/>
      <c r="X3" s="19"/>
      <c r="Y3" s="19"/>
      <c r="Z3" s="19"/>
      <c r="AA3" s="19"/>
      <c r="AB3" s="19"/>
      <c r="AC3" s="19"/>
      <c r="AD3" s="19" t="b">
        <f>OR(Glossary!$R3&gt;0,Glossary!$S3&gt;0,Glossary!$T3&gt;0)</f>
        <v>0</v>
      </c>
      <c r="AE3" s="19" t="b">
        <v>0</v>
      </c>
      <c r="AF3" s="19"/>
      <c r="AG3" s="19"/>
      <c r="AH3" s="19"/>
      <c r="AI3" s="19"/>
      <c r="AJ3" s="19"/>
      <c r="AK3" s="19"/>
      <c r="AL3" s="19" t="str">
        <f t="shared" si="0"/>
        <v/>
      </c>
      <c r="AM3" s="19"/>
      <c r="AN3" s="19"/>
      <c r="AO3" s="19" t="s">
        <v>131</v>
      </c>
      <c r="AP3" s="19"/>
      <c r="AQ3" s="19" t="s">
        <v>72</v>
      </c>
      <c r="AR3" s="19" t="b">
        <v>1</v>
      </c>
      <c r="AS3" s="19"/>
      <c r="AT3" s="19"/>
      <c r="AU3" s="19"/>
      <c r="AV3" s="19"/>
      <c r="AW3" s="19"/>
    </row>
    <row r="4" spans="1:49" ht="12.75" customHeight="1" x14ac:dyDescent="0.2">
      <c r="A4" s="19" t="s">
        <v>132</v>
      </c>
      <c r="B4" s="19" t="s">
        <v>133</v>
      </c>
      <c r="C4" s="34" t="s">
        <v>952</v>
      </c>
      <c r="D4" s="34" t="s">
        <v>134</v>
      </c>
      <c r="E4" s="19" t="s">
        <v>135</v>
      </c>
      <c r="F4" s="19" t="s">
        <v>136</v>
      </c>
      <c r="G4" s="19" t="s">
        <v>83</v>
      </c>
      <c r="H4" s="19" t="s">
        <v>87</v>
      </c>
      <c r="I4" s="19" t="s">
        <v>130</v>
      </c>
      <c r="J4" s="19" t="b">
        <v>1</v>
      </c>
      <c r="K4" s="19"/>
      <c r="L4" s="19"/>
      <c r="M4" s="19"/>
      <c r="N4" s="19" t="b">
        <v>1</v>
      </c>
      <c r="O4" s="19" t="b">
        <v>1</v>
      </c>
      <c r="P4" s="34">
        <v>12</v>
      </c>
      <c r="Q4" s="34">
        <v>0</v>
      </c>
      <c r="R4" s="34">
        <v>0</v>
      </c>
      <c r="S4" s="34">
        <v>0</v>
      </c>
      <c r="T4" s="34">
        <v>0</v>
      </c>
      <c r="U4" s="19"/>
      <c r="V4" s="19"/>
      <c r="W4" s="19"/>
      <c r="X4" s="19"/>
      <c r="Y4" s="19"/>
      <c r="Z4" s="19"/>
      <c r="AA4" s="19"/>
      <c r="AB4" s="19"/>
      <c r="AC4" s="19"/>
      <c r="AD4" s="19" t="b">
        <f>OR(Glossary!$R4&gt;0,Glossary!$S4&gt;0,Glossary!$T4&gt;0)</f>
        <v>0</v>
      </c>
      <c r="AE4" s="19" t="b">
        <v>0</v>
      </c>
      <c r="AF4" s="19"/>
      <c r="AG4" s="19"/>
      <c r="AH4" s="19"/>
      <c r="AI4" s="19"/>
      <c r="AJ4" s="19"/>
      <c r="AK4" s="19"/>
      <c r="AL4" s="19" t="str">
        <f t="shared" si="0"/>
        <v/>
      </c>
      <c r="AM4" s="19"/>
      <c r="AN4" s="19"/>
      <c r="AO4" s="19" t="s">
        <v>137</v>
      </c>
      <c r="AP4" s="19"/>
      <c r="AQ4" s="19" t="s">
        <v>72</v>
      </c>
      <c r="AR4" s="19" t="b">
        <v>1</v>
      </c>
      <c r="AS4" s="19"/>
      <c r="AT4" s="19"/>
      <c r="AU4" s="19" t="b">
        <v>1</v>
      </c>
      <c r="AV4" s="19" t="b">
        <v>1</v>
      </c>
      <c r="AW4" s="19"/>
    </row>
    <row r="5" spans="1:49" ht="12.75" customHeight="1" x14ac:dyDescent="0.2">
      <c r="A5" s="19" t="s">
        <v>138</v>
      </c>
      <c r="B5" s="19" t="s">
        <v>138</v>
      </c>
      <c r="C5" s="34" t="s">
        <v>953</v>
      </c>
      <c r="D5" s="34"/>
      <c r="E5" s="19" t="s">
        <v>139</v>
      </c>
      <c r="F5" s="19" t="s">
        <v>140</v>
      </c>
      <c r="G5" s="19" t="s">
        <v>83</v>
      </c>
      <c r="H5" s="19" t="s">
        <v>141</v>
      </c>
      <c r="I5" s="19" t="s">
        <v>142</v>
      </c>
      <c r="J5" s="19" t="b">
        <v>1</v>
      </c>
      <c r="K5" s="19"/>
      <c r="L5" s="19"/>
      <c r="M5" s="19"/>
      <c r="N5" s="19"/>
      <c r="O5" s="19" t="b">
        <v>1</v>
      </c>
      <c r="P5" s="34">
        <v>14</v>
      </c>
      <c r="Q5" s="34">
        <v>1</v>
      </c>
      <c r="R5" s="34">
        <v>0</v>
      </c>
      <c r="S5" s="34">
        <v>1</v>
      </c>
      <c r="T5" s="34">
        <v>0</v>
      </c>
      <c r="U5" s="19"/>
      <c r="V5" s="19"/>
      <c r="W5" s="19"/>
      <c r="X5" s="19"/>
      <c r="Y5" s="19"/>
      <c r="Z5" s="19"/>
      <c r="AA5" s="19"/>
      <c r="AB5" s="19"/>
      <c r="AC5" s="19"/>
      <c r="AD5" s="19" t="b">
        <f>OR(Glossary!$R5&gt;0,Glossary!$S5&gt;0,Glossary!$T5&gt;0)</f>
        <v>1</v>
      </c>
      <c r="AE5" s="19" t="b">
        <v>0</v>
      </c>
      <c r="AF5" s="19">
        <v>0</v>
      </c>
      <c r="AG5" s="19">
        <v>2E-3</v>
      </c>
      <c r="AH5" s="19"/>
      <c r="AI5" s="19"/>
      <c r="AJ5" s="19"/>
      <c r="AK5" s="19">
        <v>2E-3</v>
      </c>
      <c r="AL5" s="19" t="b">
        <f t="shared" si="0"/>
        <v>0</v>
      </c>
      <c r="AM5" s="19"/>
      <c r="AN5" s="19"/>
      <c r="AO5" s="19" t="s">
        <v>143</v>
      </c>
      <c r="AP5" s="19"/>
      <c r="AQ5" s="19"/>
      <c r="AR5" s="19" t="b">
        <v>1</v>
      </c>
      <c r="AS5" s="19"/>
      <c r="AT5" s="19"/>
      <c r="AU5" s="19"/>
      <c r="AV5" s="19"/>
      <c r="AW5" s="19"/>
    </row>
    <row r="6" spans="1:49" ht="12.75" customHeight="1" x14ac:dyDescent="0.2">
      <c r="A6" s="19" t="s">
        <v>144</v>
      </c>
      <c r="B6" s="19" t="s">
        <v>145</v>
      </c>
      <c r="C6" s="34" t="s">
        <v>954</v>
      </c>
      <c r="D6" s="34"/>
      <c r="E6" s="19" t="s">
        <v>146</v>
      </c>
      <c r="F6" s="19" t="s">
        <v>147</v>
      </c>
      <c r="G6" s="19" t="s">
        <v>83</v>
      </c>
      <c r="H6" s="19" t="s">
        <v>87</v>
      </c>
      <c r="I6" s="19" t="s">
        <v>144</v>
      </c>
      <c r="J6" s="19" t="b">
        <v>1</v>
      </c>
      <c r="K6" s="19"/>
      <c r="L6" s="19"/>
      <c r="M6" s="19" t="b">
        <v>1</v>
      </c>
      <c r="N6" s="19" t="b">
        <v>1</v>
      </c>
      <c r="O6" s="19"/>
      <c r="P6" s="34">
        <v>14</v>
      </c>
      <c r="Q6" s="34">
        <v>0</v>
      </c>
      <c r="R6" s="34">
        <v>0</v>
      </c>
      <c r="S6" s="34">
        <v>0</v>
      </c>
      <c r="T6" s="34">
        <v>0</v>
      </c>
      <c r="U6" s="19"/>
      <c r="V6" s="19"/>
      <c r="W6" s="19"/>
      <c r="X6" s="19"/>
      <c r="Y6" s="19"/>
      <c r="Z6" s="19"/>
      <c r="AA6" s="19"/>
      <c r="AB6" s="19"/>
      <c r="AC6" s="19"/>
      <c r="AD6" s="19" t="b">
        <f>OR(Glossary!$R6&gt;0,Glossary!$S6&gt;0,Glossary!$T6&gt;0)</f>
        <v>0</v>
      </c>
      <c r="AE6" s="19" t="b">
        <v>0</v>
      </c>
      <c r="AF6" s="19"/>
      <c r="AG6" s="19"/>
      <c r="AH6" s="19"/>
      <c r="AI6" s="19"/>
      <c r="AJ6" s="19"/>
      <c r="AK6" s="19"/>
      <c r="AL6" s="19" t="str">
        <f t="shared" si="0"/>
        <v/>
      </c>
      <c r="AM6" s="19"/>
      <c r="AN6" s="19"/>
      <c r="AO6" s="19" t="s">
        <v>148</v>
      </c>
      <c r="AP6" s="19"/>
      <c r="AQ6" s="19" t="s">
        <v>72</v>
      </c>
      <c r="AR6" s="19" t="b">
        <v>1</v>
      </c>
      <c r="AS6" s="19"/>
      <c r="AT6" s="19"/>
      <c r="AU6" s="19" t="b">
        <v>1</v>
      </c>
      <c r="AV6" s="19" t="b">
        <v>1</v>
      </c>
      <c r="AW6" s="19"/>
    </row>
    <row r="7" spans="1:49" ht="12.75" customHeight="1" x14ac:dyDescent="0.2">
      <c r="A7" s="19" t="s">
        <v>149</v>
      </c>
      <c r="B7" s="19" t="s">
        <v>150</v>
      </c>
      <c r="C7" s="34" t="s">
        <v>955</v>
      </c>
      <c r="D7" s="34"/>
      <c r="E7" s="19" t="s">
        <v>151</v>
      </c>
      <c r="F7" s="19" t="s">
        <v>152</v>
      </c>
      <c r="G7" s="19" t="s">
        <v>153</v>
      </c>
      <c r="H7" s="19" t="s">
        <v>154</v>
      </c>
      <c r="I7" s="19" t="s">
        <v>155</v>
      </c>
      <c r="J7" s="19"/>
      <c r="K7" s="19"/>
      <c r="L7" s="19"/>
      <c r="M7" s="19"/>
      <c r="N7" s="19"/>
      <c r="O7" s="19"/>
      <c r="P7" s="34">
        <v>0</v>
      </c>
      <c r="Q7" s="34">
        <v>0</v>
      </c>
      <c r="R7" s="34">
        <v>0</v>
      </c>
      <c r="S7" s="34">
        <v>0</v>
      </c>
      <c r="T7" s="34">
        <v>0</v>
      </c>
      <c r="U7" s="19"/>
      <c r="V7" s="19"/>
      <c r="W7" s="19"/>
      <c r="X7" s="19"/>
      <c r="Y7" s="19"/>
      <c r="Z7" s="19"/>
      <c r="AA7" s="19"/>
      <c r="AB7" s="19"/>
      <c r="AC7" s="19"/>
      <c r="AD7" s="19" t="b">
        <f>OR(Glossary!$R7&gt;0,Glossary!$S7&gt;0,Glossary!$T7&gt;0)</f>
        <v>0</v>
      </c>
      <c r="AE7" s="19" t="s">
        <v>156</v>
      </c>
      <c r="AF7" s="19">
        <v>6.0000000000000001E-3</v>
      </c>
      <c r="AG7" s="19">
        <v>6.0000000000000001E-3</v>
      </c>
      <c r="AH7" s="19"/>
      <c r="AI7" s="19"/>
      <c r="AJ7" s="19"/>
      <c r="AK7" s="19"/>
      <c r="AL7" s="19" t="str">
        <f t="shared" si="0"/>
        <v/>
      </c>
      <c r="AM7" s="19"/>
      <c r="AN7" s="19"/>
      <c r="AO7" s="19" t="s">
        <v>157</v>
      </c>
      <c r="AP7" s="19"/>
      <c r="AQ7" s="19" t="s">
        <v>73</v>
      </c>
      <c r="AR7" s="19" t="b">
        <v>1</v>
      </c>
      <c r="AS7" s="19"/>
      <c r="AT7" s="19" t="b">
        <v>1</v>
      </c>
      <c r="AU7" s="19"/>
      <c r="AV7" s="19" t="b">
        <v>1</v>
      </c>
      <c r="AW7" s="19"/>
    </row>
    <row r="8" spans="1:49" ht="12.75" customHeight="1" x14ac:dyDescent="0.2">
      <c r="A8" s="19" t="s">
        <v>158</v>
      </c>
      <c r="B8" s="19" t="s">
        <v>159</v>
      </c>
      <c r="C8" s="34" t="s">
        <v>956</v>
      </c>
      <c r="D8" s="34"/>
      <c r="E8" s="19" t="s">
        <v>160</v>
      </c>
      <c r="F8" s="19" t="s">
        <v>161</v>
      </c>
      <c r="G8" s="19" t="s">
        <v>153</v>
      </c>
      <c r="H8" s="19" t="s">
        <v>154</v>
      </c>
      <c r="I8" s="19" t="s">
        <v>155</v>
      </c>
      <c r="J8" s="19"/>
      <c r="K8" s="19"/>
      <c r="L8" s="19"/>
      <c r="M8" s="19"/>
      <c r="N8" s="19"/>
      <c r="O8" s="19" t="b">
        <v>1</v>
      </c>
      <c r="P8" s="34">
        <v>0</v>
      </c>
      <c r="Q8" s="34">
        <v>0</v>
      </c>
      <c r="R8" s="34">
        <v>0</v>
      </c>
      <c r="S8" s="34">
        <v>0</v>
      </c>
      <c r="T8" s="34">
        <v>0</v>
      </c>
      <c r="U8" s="19"/>
      <c r="V8" s="19"/>
      <c r="W8" s="19"/>
      <c r="X8" s="19"/>
      <c r="Y8" s="19"/>
      <c r="Z8" s="19"/>
      <c r="AA8" s="19"/>
      <c r="AB8" s="19"/>
      <c r="AC8" s="19"/>
      <c r="AD8" s="19" t="b">
        <f>OR(Glossary!$R8&gt;0,Glossary!$S8&gt;0,Glossary!$T8&gt;0)</f>
        <v>0</v>
      </c>
      <c r="AE8" s="19" t="s">
        <v>156</v>
      </c>
      <c r="AF8" s="19">
        <v>0</v>
      </c>
      <c r="AG8" s="19">
        <v>0.01</v>
      </c>
      <c r="AH8" s="19"/>
      <c r="AI8" s="19"/>
      <c r="AJ8" s="19"/>
      <c r="AK8" s="19">
        <v>0.01</v>
      </c>
      <c r="AL8" s="19" t="b">
        <f t="shared" si="0"/>
        <v>0</v>
      </c>
      <c r="AM8" s="19"/>
      <c r="AN8" s="19"/>
      <c r="AO8" s="19" t="s">
        <v>162</v>
      </c>
      <c r="AP8" s="19"/>
      <c r="AQ8" s="19" t="s">
        <v>73</v>
      </c>
      <c r="AR8" s="19" t="b">
        <v>1</v>
      </c>
      <c r="AS8" s="19"/>
      <c r="AT8" s="19" t="b">
        <v>1</v>
      </c>
      <c r="AU8" s="19"/>
      <c r="AV8" s="19" t="b">
        <v>1</v>
      </c>
      <c r="AW8" s="19"/>
    </row>
    <row r="9" spans="1:49" ht="12.75" customHeight="1" x14ac:dyDescent="0.2">
      <c r="A9" s="19" t="s">
        <v>163</v>
      </c>
      <c r="B9" s="19" t="s">
        <v>163</v>
      </c>
      <c r="C9" s="34" t="s">
        <v>957</v>
      </c>
      <c r="D9" s="34" t="s">
        <v>164</v>
      </c>
      <c r="E9" s="19" t="s">
        <v>165</v>
      </c>
      <c r="F9" s="19" t="s">
        <v>166</v>
      </c>
      <c r="G9" s="19" t="s">
        <v>83</v>
      </c>
      <c r="H9" s="19" t="s">
        <v>167</v>
      </c>
      <c r="I9" s="19"/>
      <c r="J9" s="19" t="b">
        <v>1</v>
      </c>
      <c r="K9" s="19"/>
      <c r="L9" s="19"/>
      <c r="M9" s="19"/>
      <c r="N9" s="19"/>
      <c r="O9" s="19" t="b">
        <v>1</v>
      </c>
      <c r="P9" s="34">
        <v>8</v>
      </c>
      <c r="Q9" s="34">
        <v>5</v>
      </c>
      <c r="R9" s="34">
        <v>0</v>
      </c>
      <c r="S9" s="34">
        <v>1</v>
      </c>
      <c r="T9" s="34">
        <v>0</v>
      </c>
      <c r="U9" s="19"/>
      <c r="V9" s="19"/>
      <c r="W9" s="19"/>
      <c r="X9" s="19"/>
      <c r="Y9" s="19"/>
      <c r="Z9" s="19"/>
      <c r="AA9" s="19"/>
      <c r="AB9" s="19"/>
      <c r="AC9" s="19"/>
      <c r="AD9" s="19" t="b">
        <f>OR(Glossary!$R9&gt;0,Glossary!$S9&gt;0,Glossary!$T9&gt;0)</f>
        <v>1</v>
      </c>
      <c r="AE9" s="19" t="b">
        <v>0</v>
      </c>
      <c r="AF9" s="19">
        <v>3.0000000000000001E-3</v>
      </c>
      <c r="AG9" s="19">
        <v>3.0000000000000001E-3</v>
      </c>
      <c r="AH9" s="19"/>
      <c r="AI9" s="19"/>
      <c r="AJ9" s="19"/>
      <c r="AK9" s="19">
        <v>3.0000000000000001E-3</v>
      </c>
      <c r="AL9" s="19" t="b">
        <f t="shared" si="0"/>
        <v>0</v>
      </c>
      <c r="AM9" s="19"/>
      <c r="AN9" s="19"/>
      <c r="AO9" s="19" t="s">
        <v>168</v>
      </c>
      <c r="AP9" s="19"/>
      <c r="AQ9" s="19"/>
      <c r="AR9" s="19" t="b">
        <v>1</v>
      </c>
      <c r="AS9" s="19"/>
      <c r="AT9" s="19"/>
      <c r="AU9" s="19"/>
      <c r="AV9" s="19"/>
      <c r="AW9" s="19"/>
    </row>
    <row r="10" spans="1:49" ht="12.75" customHeight="1" x14ac:dyDescent="0.2">
      <c r="A10" s="19" t="s">
        <v>169</v>
      </c>
      <c r="B10" s="19" t="s">
        <v>170</v>
      </c>
      <c r="C10" s="34" t="s">
        <v>958</v>
      </c>
      <c r="D10" s="34"/>
      <c r="E10" s="19" t="s">
        <v>171</v>
      </c>
      <c r="F10" s="19" t="s">
        <v>172</v>
      </c>
      <c r="G10" s="19" t="s">
        <v>153</v>
      </c>
      <c r="H10" s="19" t="s">
        <v>173</v>
      </c>
      <c r="I10" s="19" t="s">
        <v>174</v>
      </c>
      <c r="J10" s="19"/>
      <c r="K10" s="19"/>
      <c r="L10" s="19"/>
      <c r="M10" s="19" t="b">
        <v>1</v>
      </c>
      <c r="N10" s="19"/>
      <c r="O10" s="19"/>
      <c r="P10" s="34" t="s">
        <v>526</v>
      </c>
      <c r="Q10" s="34" t="s">
        <v>526</v>
      </c>
      <c r="R10" s="34" t="s">
        <v>526</v>
      </c>
      <c r="S10" s="34" t="s">
        <v>526</v>
      </c>
      <c r="T10" s="34" t="s">
        <v>526</v>
      </c>
      <c r="U10" s="19"/>
      <c r="V10" s="19"/>
      <c r="W10" s="19"/>
      <c r="X10" s="19"/>
      <c r="Y10" s="19"/>
      <c r="Z10" s="19"/>
      <c r="AA10" s="19"/>
      <c r="AB10" s="19"/>
      <c r="AC10" s="19"/>
      <c r="AD10" s="19" t="b">
        <f>OR(Glossary!$R10&gt;0,Glossary!$S10&gt;0,Glossary!$T10&gt;0)</f>
        <v>1</v>
      </c>
      <c r="AE10" s="19" t="s">
        <v>156</v>
      </c>
      <c r="AF10" s="19">
        <v>2</v>
      </c>
      <c r="AG10" s="19">
        <v>2</v>
      </c>
      <c r="AH10" s="19"/>
      <c r="AI10" s="19"/>
      <c r="AJ10" s="19"/>
      <c r="AK10" s="19">
        <v>2</v>
      </c>
      <c r="AL10" s="19" t="b">
        <f t="shared" si="0"/>
        <v>0</v>
      </c>
      <c r="AM10" s="19"/>
      <c r="AN10" s="19"/>
      <c r="AO10" s="19" t="s">
        <v>175</v>
      </c>
      <c r="AP10" s="19"/>
      <c r="AQ10" s="19" t="s">
        <v>73</v>
      </c>
      <c r="AR10" s="19" t="b">
        <v>1</v>
      </c>
      <c r="AS10" s="19"/>
      <c r="AT10" s="19" t="b">
        <v>1</v>
      </c>
      <c r="AU10" s="19"/>
      <c r="AV10" s="19" t="b">
        <v>1</v>
      </c>
      <c r="AW10" s="19"/>
    </row>
    <row r="11" spans="1:49" ht="12.75" customHeight="1" x14ac:dyDescent="0.2">
      <c r="A11" s="19" t="s">
        <v>141</v>
      </c>
      <c r="B11" s="19" t="s">
        <v>176</v>
      </c>
      <c r="C11" s="34" t="s">
        <v>959</v>
      </c>
      <c r="D11" s="34" t="s">
        <v>177</v>
      </c>
      <c r="E11" s="19" t="s">
        <v>178</v>
      </c>
      <c r="F11" s="19" t="s">
        <v>179</v>
      </c>
      <c r="G11" s="19" t="s">
        <v>83</v>
      </c>
      <c r="H11" s="19" t="s">
        <v>141</v>
      </c>
      <c r="I11" s="19"/>
      <c r="J11" s="19" t="b">
        <v>1</v>
      </c>
      <c r="K11" s="19" t="b">
        <v>1</v>
      </c>
      <c r="L11" s="19"/>
      <c r="M11" s="19" t="b">
        <v>1</v>
      </c>
      <c r="N11" s="19"/>
      <c r="O11" s="19"/>
      <c r="P11" s="34">
        <v>6</v>
      </c>
      <c r="Q11" s="34">
        <v>0</v>
      </c>
      <c r="R11" s="34">
        <v>0</v>
      </c>
      <c r="S11" s="34">
        <v>0</v>
      </c>
      <c r="T11" s="34">
        <v>0</v>
      </c>
      <c r="U11" s="19"/>
      <c r="V11" s="19"/>
      <c r="W11" s="19"/>
      <c r="X11" s="19"/>
      <c r="Y11" s="19"/>
      <c r="Z11" s="19"/>
      <c r="AA11" s="19"/>
      <c r="AB11" s="19"/>
      <c r="AC11" s="19"/>
      <c r="AD11" s="19" t="b">
        <f>OR(Glossary!$R11&gt;0,Glossary!$S11&gt;0,Glossary!$T11&gt;0)</f>
        <v>0</v>
      </c>
      <c r="AE11" s="19" t="b">
        <v>0</v>
      </c>
      <c r="AF11" s="19">
        <v>0</v>
      </c>
      <c r="AG11" s="19">
        <v>5.0000000000000001E-3</v>
      </c>
      <c r="AH11" s="19"/>
      <c r="AI11" s="19"/>
      <c r="AJ11" s="19"/>
      <c r="AK11" s="19"/>
      <c r="AL11" s="19" t="str">
        <f t="shared" si="0"/>
        <v/>
      </c>
      <c r="AM11" s="19"/>
      <c r="AN11" s="19"/>
      <c r="AO11" s="19" t="s">
        <v>180</v>
      </c>
      <c r="AP11" s="19"/>
      <c r="AQ11" s="19"/>
      <c r="AR11" s="19" t="b">
        <v>1</v>
      </c>
      <c r="AS11" s="19"/>
      <c r="AT11" s="19" t="b">
        <v>1</v>
      </c>
      <c r="AU11" s="19" t="b">
        <v>1</v>
      </c>
      <c r="AV11" s="19" t="b">
        <v>1</v>
      </c>
      <c r="AW11" s="19"/>
    </row>
    <row r="12" spans="1:49" ht="12.75" customHeight="1" x14ac:dyDescent="0.2">
      <c r="A12" s="19" t="s">
        <v>181</v>
      </c>
      <c r="B12" s="19" t="s">
        <v>182</v>
      </c>
      <c r="C12" s="34" t="s">
        <v>960</v>
      </c>
      <c r="D12" s="34" t="s">
        <v>183</v>
      </c>
      <c r="E12" s="19" t="s">
        <v>184</v>
      </c>
      <c r="F12" s="20" t="s">
        <v>185</v>
      </c>
      <c r="G12" s="19" t="s">
        <v>83</v>
      </c>
      <c r="H12" s="19" t="s">
        <v>87</v>
      </c>
      <c r="I12" s="19"/>
      <c r="J12" s="19" t="b">
        <v>1</v>
      </c>
      <c r="K12" s="19"/>
      <c r="L12" s="19"/>
      <c r="M12" s="19"/>
      <c r="N12" s="19" t="b">
        <v>1</v>
      </c>
      <c r="O12" s="19"/>
      <c r="P12" s="34">
        <v>18</v>
      </c>
      <c r="Q12" s="34">
        <v>0</v>
      </c>
      <c r="R12" s="34">
        <v>0</v>
      </c>
      <c r="S12" s="34">
        <v>0</v>
      </c>
      <c r="T12" s="34">
        <v>0</v>
      </c>
      <c r="U12" s="19"/>
      <c r="V12" s="19"/>
      <c r="W12" s="19"/>
      <c r="X12" s="19"/>
      <c r="Y12" s="19"/>
      <c r="Z12" s="19"/>
      <c r="AA12" s="19"/>
      <c r="AB12" s="19"/>
      <c r="AC12" s="19"/>
      <c r="AD12" s="19" t="b">
        <f>OR(Glossary!$R12&gt;0,Glossary!$S12&gt;0,Glossary!$T12&gt;0)</f>
        <v>0</v>
      </c>
      <c r="AE12" s="19" t="b">
        <v>0</v>
      </c>
      <c r="AF12" s="19"/>
      <c r="AG12" s="19"/>
      <c r="AH12" s="19"/>
      <c r="AI12" s="19"/>
      <c r="AJ12" s="19"/>
      <c r="AK12" s="19"/>
      <c r="AL12" s="19" t="str">
        <f t="shared" si="0"/>
        <v/>
      </c>
      <c r="AM12" s="19"/>
      <c r="AN12" s="19"/>
      <c r="AO12" s="19" t="s">
        <v>186</v>
      </c>
      <c r="AP12" s="19"/>
      <c r="AQ12" s="19" t="s">
        <v>72</v>
      </c>
      <c r="AR12" s="19" t="b">
        <v>1</v>
      </c>
      <c r="AS12" s="19"/>
      <c r="AT12" s="19"/>
      <c r="AU12" s="19"/>
      <c r="AV12" s="19"/>
      <c r="AW12" s="19"/>
    </row>
    <row r="13" spans="1:49" ht="12.75" customHeight="1" x14ac:dyDescent="0.2">
      <c r="A13" s="19" t="s">
        <v>187</v>
      </c>
      <c r="B13" s="19" t="s">
        <v>188</v>
      </c>
      <c r="C13" s="34" t="s">
        <v>961</v>
      </c>
      <c r="D13" s="34" t="s">
        <v>189</v>
      </c>
      <c r="E13" s="19" t="s">
        <v>190</v>
      </c>
      <c r="F13" s="19" t="s">
        <v>191</v>
      </c>
      <c r="G13" s="19" t="s">
        <v>83</v>
      </c>
      <c r="H13" s="19" t="s">
        <v>87</v>
      </c>
      <c r="I13" s="19"/>
      <c r="J13" s="19" t="b">
        <v>1</v>
      </c>
      <c r="K13" s="19"/>
      <c r="L13" s="19"/>
      <c r="M13" s="19"/>
      <c r="N13" s="19" t="b">
        <v>1</v>
      </c>
      <c r="O13" s="19"/>
      <c r="P13" s="34">
        <v>20</v>
      </c>
      <c r="Q13" s="34">
        <v>0</v>
      </c>
      <c r="R13" s="34">
        <v>0</v>
      </c>
      <c r="S13" s="34">
        <v>0</v>
      </c>
      <c r="T13" s="34">
        <v>0</v>
      </c>
      <c r="U13" s="19"/>
      <c r="V13" s="19"/>
      <c r="W13" s="19"/>
      <c r="X13" s="19"/>
      <c r="Y13" s="19"/>
      <c r="Z13" s="19"/>
      <c r="AA13" s="19"/>
      <c r="AB13" s="19"/>
      <c r="AC13" s="19"/>
      <c r="AD13" s="19" t="b">
        <f>OR(Glossary!$R13&gt;0,Glossary!$S13&gt;0,Glossary!$T13&gt;0)</f>
        <v>0</v>
      </c>
      <c r="AE13" s="19" t="b">
        <v>0</v>
      </c>
      <c r="AF13" s="19">
        <v>0</v>
      </c>
      <c r="AG13" s="19">
        <v>2.0000000000000001E-4</v>
      </c>
      <c r="AH13" s="19"/>
      <c r="AI13" s="19"/>
      <c r="AJ13" s="19"/>
      <c r="AK13" s="19">
        <v>2.0000000000000001E-4</v>
      </c>
      <c r="AL13" s="19" t="b">
        <f t="shared" si="0"/>
        <v>0</v>
      </c>
      <c r="AM13" s="19"/>
      <c r="AN13" s="19"/>
      <c r="AO13" s="19" t="s">
        <v>192</v>
      </c>
      <c r="AP13" s="19"/>
      <c r="AQ13" s="19" t="s">
        <v>72</v>
      </c>
      <c r="AR13" s="19" t="b">
        <v>1</v>
      </c>
      <c r="AS13" s="19"/>
      <c r="AT13" s="19" t="b">
        <v>1</v>
      </c>
      <c r="AU13" s="19" t="b">
        <v>1</v>
      </c>
      <c r="AV13" s="19" t="b">
        <v>1</v>
      </c>
      <c r="AW13" s="19"/>
    </row>
    <row r="14" spans="1:49" ht="12.75" customHeight="1" x14ac:dyDescent="0.2">
      <c r="A14" s="19" t="s">
        <v>193</v>
      </c>
      <c r="B14" s="19" t="s">
        <v>194</v>
      </c>
      <c r="C14" s="34" t="s">
        <v>961</v>
      </c>
      <c r="D14" s="34" t="s">
        <v>195</v>
      </c>
      <c r="E14" s="19" t="s">
        <v>196</v>
      </c>
      <c r="F14" s="19" t="s">
        <v>197</v>
      </c>
      <c r="G14" s="19" t="s">
        <v>83</v>
      </c>
      <c r="H14" s="19" t="s">
        <v>87</v>
      </c>
      <c r="I14" s="19"/>
      <c r="J14" s="19" t="b">
        <v>1</v>
      </c>
      <c r="K14" s="19"/>
      <c r="L14" s="19"/>
      <c r="M14" s="19"/>
      <c r="N14" s="19" t="b">
        <v>1</v>
      </c>
      <c r="O14" s="19"/>
      <c r="P14" s="34">
        <v>20</v>
      </c>
      <c r="Q14" s="34">
        <v>0</v>
      </c>
      <c r="R14" s="34">
        <v>0</v>
      </c>
      <c r="S14" s="34">
        <v>0</v>
      </c>
      <c r="T14" s="34">
        <v>0</v>
      </c>
      <c r="U14" s="19"/>
      <c r="V14" s="19"/>
      <c r="W14" s="19"/>
      <c r="X14" s="19"/>
      <c r="Y14" s="19"/>
      <c r="Z14" s="19"/>
      <c r="AA14" s="19"/>
      <c r="AB14" s="19"/>
      <c r="AC14" s="19"/>
      <c r="AD14" s="19" t="b">
        <f>OR(Glossary!$R14&gt;0,Glossary!$S14&gt;0,Glossary!$T14&gt;0)</f>
        <v>0</v>
      </c>
      <c r="AE14" s="19" t="b">
        <v>0</v>
      </c>
      <c r="AF14" s="19"/>
      <c r="AG14" s="19"/>
      <c r="AH14" s="19"/>
      <c r="AI14" s="19"/>
      <c r="AJ14" s="19"/>
      <c r="AK14" s="19"/>
      <c r="AL14" s="19" t="str">
        <f t="shared" si="0"/>
        <v/>
      </c>
      <c r="AM14" s="19"/>
      <c r="AN14" s="19"/>
      <c r="AO14" s="19" t="s">
        <v>198</v>
      </c>
      <c r="AP14" s="19"/>
      <c r="AQ14" s="19" t="s">
        <v>72</v>
      </c>
      <c r="AR14" s="19" t="b">
        <v>1</v>
      </c>
      <c r="AS14" s="19"/>
      <c r="AT14" s="19"/>
      <c r="AU14" s="19" t="b">
        <v>1</v>
      </c>
      <c r="AV14" s="19" t="b">
        <v>1</v>
      </c>
      <c r="AW14" s="19"/>
    </row>
    <row r="15" spans="1:49" ht="12.75" customHeight="1" x14ac:dyDescent="0.2">
      <c r="A15" s="19" t="s">
        <v>199</v>
      </c>
      <c r="B15" s="19" t="s">
        <v>200</v>
      </c>
      <c r="C15" s="34" t="s">
        <v>962</v>
      </c>
      <c r="D15" s="34" t="s">
        <v>201</v>
      </c>
      <c r="E15" s="19" t="s">
        <v>202</v>
      </c>
      <c r="F15" s="19" t="s">
        <v>203</v>
      </c>
      <c r="G15" s="19" t="s">
        <v>83</v>
      </c>
      <c r="H15" s="19" t="s">
        <v>87</v>
      </c>
      <c r="I15" s="19"/>
      <c r="J15" s="19" t="b">
        <v>1</v>
      </c>
      <c r="K15" s="19"/>
      <c r="L15" s="19"/>
      <c r="M15" s="19"/>
      <c r="N15" s="19" t="b">
        <v>1</v>
      </c>
      <c r="O15" s="19"/>
      <c r="P15" s="34">
        <v>22</v>
      </c>
      <c r="Q15" s="34">
        <v>0</v>
      </c>
      <c r="R15" s="34">
        <v>0</v>
      </c>
      <c r="S15" s="34">
        <v>0</v>
      </c>
      <c r="T15" s="34">
        <v>0</v>
      </c>
      <c r="U15" s="19"/>
      <c r="V15" s="19"/>
      <c r="W15" s="19"/>
      <c r="X15" s="19"/>
      <c r="Y15" s="19"/>
      <c r="Z15" s="19"/>
      <c r="AA15" s="19"/>
      <c r="AB15" s="19"/>
      <c r="AC15" s="19"/>
      <c r="AD15" s="19" t="b">
        <f>OR(Glossary!$R15&gt;0,Glossary!$S15&gt;0,Glossary!$T15&gt;0)</f>
        <v>0</v>
      </c>
      <c r="AE15" s="19" t="b">
        <v>0</v>
      </c>
      <c r="AF15" s="19"/>
      <c r="AG15" s="19"/>
      <c r="AH15" s="19"/>
      <c r="AI15" s="19"/>
      <c r="AJ15" s="19"/>
      <c r="AK15" s="19"/>
      <c r="AL15" s="19" t="str">
        <f t="shared" si="0"/>
        <v/>
      </c>
      <c r="AM15" s="19"/>
      <c r="AN15" s="19"/>
      <c r="AO15" s="19" t="s">
        <v>204</v>
      </c>
      <c r="AP15" s="19"/>
      <c r="AQ15" s="19" t="s">
        <v>72</v>
      </c>
      <c r="AR15" s="19" t="b">
        <v>1</v>
      </c>
      <c r="AS15" s="19"/>
      <c r="AT15" s="19"/>
      <c r="AU15" s="19" t="b">
        <v>1</v>
      </c>
      <c r="AV15" s="19" t="b">
        <v>1</v>
      </c>
      <c r="AW15" s="19"/>
    </row>
    <row r="16" spans="1:49" ht="12.75" customHeight="1" x14ac:dyDescent="0.2">
      <c r="A16" s="19" t="s">
        <v>205</v>
      </c>
      <c r="B16" s="19" t="s">
        <v>206</v>
      </c>
      <c r="C16" s="34" t="s">
        <v>961</v>
      </c>
      <c r="D16" s="34" t="s">
        <v>207</v>
      </c>
      <c r="E16" s="19" t="s">
        <v>208</v>
      </c>
      <c r="F16" s="19" t="s">
        <v>209</v>
      </c>
      <c r="G16" s="19" t="s">
        <v>83</v>
      </c>
      <c r="H16" s="19" t="s">
        <v>87</v>
      </c>
      <c r="I16" s="19"/>
      <c r="J16" s="19" t="b">
        <v>1</v>
      </c>
      <c r="K16" s="19"/>
      <c r="L16" s="19"/>
      <c r="M16" s="19"/>
      <c r="N16" s="19" t="b">
        <v>1</v>
      </c>
      <c r="O16" s="19"/>
      <c r="P16" s="34">
        <v>20</v>
      </c>
      <c r="Q16" s="34">
        <v>0</v>
      </c>
      <c r="R16" s="34">
        <v>0</v>
      </c>
      <c r="S16" s="34">
        <v>0</v>
      </c>
      <c r="T16" s="34">
        <v>0</v>
      </c>
      <c r="U16" s="19"/>
      <c r="V16" s="19"/>
      <c r="W16" s="19"/>
      <c r="X16" s="19"/>
      <c r="Y16" s="19"/>
      <c r="Z16" s="19"/>
      <c r="AA16" s="19"/>
      <c r="AB16" s="19"/>
      <c r="AC16" s="19"/>
      <c r="AD16" s="19" t="b">
        <f>OR(Glossary!$R16&gt;0,Glossary!$S16&gt;0,Glossary!$T16&gt;0)</f>
        <v>0</v>
      </c>
      <c r="AE16" s="19" t="b">
        <v>0</v>
      </c>
      <c r="AF16" s="19"/>
      <c r="AG16" s="19"/>
      <c r="AH16" s="19"/>
      <c r="AI16" s="19"/>
      <c r="AJ16" s="19"/>
      <c r="AK16" s="19"/>
      <c r="AL16" s="19" t="str">
        <f t="shared" si="0"/>
        <v/>
      </c>
      <c r="AM16" s="19"/>
      <c r="AN16" s="19"/>
      <c r="AO16" s="19" t="s">
        <v>210</v>
      </c>
      <c r="AP16" s="19"/>
      <c r="AQ16" s="19" t="s">
        <v>72</v>
      </c>
      <c r="AR16" s="19" t="b">
        <v>1</v>
      </c>
      <c r="AS16" s="19"/>
      <c r="AT16" s="19"/>
      <c r="AU16" s="19" t="b">
        <v>1</v>
      </c>
      <c r="AV16" s="19" t="b">
        <v>1</v>
      </c>
      <c r="AW16" s="19"/>
    </row>
    <row r="17" spans="1:49" ht="12.75" customHeight="1" x14ac:dyDescent="0.2">
      <c r="A17" s="19" t="s">
        <v>211</v>
      </c>
      <c r="B17" s="19" t="s">
        <v>212</v>
      </c>
      <c r="C17" s="34" t="s">
        <v>963</v>
      </c>
      <c r="D17" s="38" t="s">
        <v>1065</v>
      </c>
      <c r="E17" s="19" t="s">
        <v>213</v>
      </c>
      <c r="F17" s="19" t="s">
        <v>214</v>
      </c>
      <c r="G17" s="19" t="s">
        <v>83</v>
      </c>
      <c r="H17" s="19" t="s">
        <v>87</v>
      </c>
      <c r="I17" s="19"/>
      <c r="J17" s="19" t="b">
        <v>1</v>
      </c>
      <c r="K17" s="19"/>
      <c r="L17" s="19"/>
      <c r="M17" s="19"/>
      <c r="N17" s="19" t="b">
        <v>1</v>
      </c>
      <c r="O17" s="19"/>
      <c r="P17" s="34">
        <v>22</v>
      </c>
      <c r="Q17" s="34">
        <v>0</v>
      </c>
      <c r="R17" s="34">
        <v>0</v>
      </c>
      <c r="S17" s="34">
        <v>0</v>
      </c>
      <c r="T17" s="34">
        <v>0</v>
      </c>
      <c r="U17" s="19"/>
      <c r="V17" s="19"/>
      <c r="W17" s="19"/>
      <c r="X17" s="19"/>
      <c r="Y17" s="19"/>
      <c r="Z17" s="19"/>
      <c r="AA17" s="19"/>
      <c r="AB17" s="19"/>
      <c r="AC17" s="19"/>
      <c r="AD17" s="19" t="b">
        <f>OR(Glossary!$R17&gt;0,Glossary!$S17&gt;0,Glossary!$T17&gt;0)</f>
        <v>0</v>
      </c>
      <c r="AE17" s="19" t="b">
        <v>0</v>
      </c>
      <c r="AF17" s="19"/>
      <c r="AG17" s="19"/>
      <c r="AH17" s="19"/>
      <c r="AI17" s="19"/>
      <c r="AJ17" s="19"/>
      <c r="AK17" s="19"/>
      <c r="AL17" s="19" t="str">
        <f t="shared" si="0"/>
        <v/>
      </c>
      <c r="AM17" s="19"/>
      <c r="AN17" s="19"/>
      <c r="AO17" s="19" t="s">
        <v>215</v>
      </c>
      <c r="AP17" s="19"/>
      <c r="AQ17" s="19" t="s">
        <v>72</v>
      </c>
      <c r="AR17" s="19" t="b">
        <v>1</v>
      </c>
      <c r="AS17" s="19"/>
      <c r="AT17" s="19"/>
      <c r="AU17" s="19" t="b">
        <v>1</v>
      </c>
      <c r="AV17" s="19" t="b">
        <v>1</v>
      </c>
      <c r="AW17" s="19"/>
    </row>
    <row r="18" spans="1:49" ht="12.75" customHeight="1" x14ac:dyDescent="0.2">
      <c r="A18" s="19" t="s">
        <v>216</v>
      </c>
      <c r="B18" s="19" t="s">
        <v>217</v>
      </c>
      <c r="C18" s="34" t="s">
        <v>964</v>
      </c>
      <c r="D18" s="34"/>
      <c r="E18" s="19" t="s">
        <v>218</v>
      </c>
      <c r="F18" s="19" t="s">
        <v>219</v>
      </c>
      <c r="G18" s="19" t="s">
        <v>153</v>
      </c>
      <c r="H18" s="19" t="s">
        <v>173</v>
      </c>
      <c r="I18" s="19" t="s">
        <v>174</v>
      </c>
      <c r="J18" s="19"/>
      <c r="K18" s="19"/>
      <c r="L18" s="19"/>
      <c r="M18" s="19"/>
      <c r="N18" s="19"/>
      <c r="O18" s="19"/>
      <c r="P18" s="34">
        <v>0</v>
      </c>
      <c r="Q18" s="34">
        <v>0</v>
      </c>
      <c r="R18" s="34">
        <v>0</v>
      </c>
      <c r="S18" s="34">
        <v>0</v>
      </c>
      <c r="T18" s="34">
        <v>0</v>
      </c>
      <c r="U18" s="19"/>
      <c r="V18" s="19"/>
      <c r="W18" s="19"/>
      <c r="X18" s="19"/>
      <c r="Y18" s="19"/>
      <c r="Z18" s="19"/>
      <c r="AA18" s="19"/>
      <c r="AB18" s="19"/>
      <c r="AC18" s="19"/>
      <c r="AD18" s="19" t="b">
        <f>OR(Glossary!$R18&gt;0,Glossary!$S18&gt;0,Glossary!$T18&gt;0)</f>
        <v>0</v>
      </c>
      <c r="AE18" s="19" t="s">
        <v>156</v>
      </c>
      <c r="AF18" s="19">
        <v>4.0000000000000001E-3</v>
      </c>
      <c r="AG18" s="19">
        <v>4.0000000000000001E-3</v>
      </c>
      <c r="AH18" s="19"/>
      <c r="AI18" s="19"/>
      <c r="AJ18" s="19"/>
      <c r="AK18" s="19"/>
      <c r="AL18" s="19" t="str">
        <f t="shared" si="0"/>
        <v/>
      </c>
      <c r="AM18" s="19"/>
      <c r="AN18" s="19"/>
      <c r="AO18" s="19" t="s">
        <v>220</v>
      </c>
      <c r="AP18" s="19"/>
      <c r="AQ18" s="19"/>
      <c r="AR18" s="19" t="b">
        <v>1</v>
      </c>
      <c r="AS18" s="19"/>
      <c r="AT18" s="19" t="b">
        <v>1</v>
      </c>
      <c r="AU18" s="19"/>
      <c r="AV18" s="19" t="b">
        <v>1</v>
      </c>
      <c r="AW18" s="19"/>
    </row>
    <row r="19" spans="1:49" ht="12.75" customHeight="1" x14ac:dyDescent="0.2">
      <c r="A19" s="19" t="s">
        <v>221</v>
      </c>
      <c r="B19" s="19" t="s">
        <v>222</v>
      </c>
      <c r="C19" s="34" t="s">
        <v>965</v>
      </c>
      <c r="D19" s="38" t="s">
        <v>1066</v>
      </c>
      <c r="E19" s="19" t="s">
        <v>223</v>
      </c>
      <c r="F19" s="19" t="s">
        <v>224</v>
      </c>
      <c r="G19" s="19" t="s">
        <v>225</v>
      </c>
      <c r="H19" s="19" t="s">
        <v>226</v>
      </c>
      <c r="I19" s="19" t="s">
        <v>227</v>
      </c>
      <c r="J19" s="19"/>
      <c r="K19" s="19"/>
      <c r="L19" s="19"/>
      <c r="M19" s="19"/>
      <c r="N19" s="19"/>
      <c r="O19" s="19"/>
      <c r="P19" s="34">
        <v>22</v>
      </c>
      <c r="Q19" s="34">
        <v>0</v>
      </c>
      <c r="R19" s="34">
        <v>0</v>
      </c>
      <c r="S19" s="34">
        <v>0</v>
      </c>
      <c r="T19" s="34">
        <v>0</v>
      </c>
      <c r="U19" s="19"/>
      <c r="V19" s="19"/>
      <c r="W19" s="19"/>
      <c r="X19" s="19"/>
      <c r="Y19" s="19"/>
      <c r="Z19" s="19"/>
      <c r="AA19" s="19">
        <v>2</v>
      </c>
      <c r="AB19" s="19"/>
      <c r="AC19" s="19"/>
      <c r="AD19" s="19" t="b">
        <f>OR(Glossary!$R19&gt;0,Glossary!$S19&gt;0,Glossary!$T19&gt;0)</f>
        <v>0</v>
      </c>
      <c r="AE19" s="19" t="b">
        <v>0</v>
      </c>
      <c r="AF19" s="19">
        <v>0.4</v>
      </c>
      <c r="AG19" s="19">
        <v>0.4</v>
      </c>
      <c r="AH19" s="19"/>
      <c r="AI19" s="19"/>
      <c r="AJ19" s="19"/>
      <c r="AK19" s="19">
        <v>0.4</v>
      </c>
      <c r="AL19" s="19" t="b">
        <f t="shared" si="0"/>
        <v>0</v>
      </c>
      <c r="AM19" s="19"/>
      <c r="AN19" s="19"/>
      <c r="AO19" s="19" t="s">
        <v>228</v>
      </c>
      <c r="AP19" s="19"/>
      <c r="AQ19" s="19"/>
      <c r="AR19" s="19" t="b">
        <v>1</v>
      </c>
      <c r="AS19" s="19"/>
      <c r="AT19" s="19"/>
      <c r="AU19" s="19"/>
      <c r="AV19" s="19"/>
      <c r="AW19" s="19"/>
    </row>
    <row r="20" spans="1:49" ht="12.75" customHeight="1" x14ac:dyDescent="0.2">
      <c r="A20" s="19" t="s">
        <v>229</v>
      </c>
      <c r="B20" s="19" t="s">
        <v>230</v>
      </c>
      <c r="C20" s="34" t="s">
        <v>966</v>
      </c>
      <c r="D20" s="38" t="s">
        <v>1067</v>
      </c>
      <c r="E20" s="19" t="s">
        <v>231</v>
      </c>
      <c r="F20" s="19" t="s">
        <v>232</v>
      </c>
      <c r="G20" s="19" t="s">
        <v>83</v>
      </c>
      <c r="H20" s="19" t="s">
        <v>141</v>
      </c>
      <c r="I20" s="19" t="s">
        <v>142</v>
      </c>
      <c r="J20" s="19" t="b">
        <v>1</v>
      </c>
      <c r="K20" s="19"/>
      <c r="L20" s="19"/>
      <c r="M20" s="19"/>
      <c r="N20" s="19"/>
      <c r="O20" s="19"/>
      <c r="P20" s="34">
        <v>24</v>
      </c>
      <c r="Q20" s="34">
        <v>0</v>
      </c>
      <c r="R20" s="34">
        <v>0</v>
      </c>
      <c r="S20" s="34">
        <v>0</v>
      </c>
      <c r="T20" s="34">
        <v>0</v>
      </c>
      <c r="U20" s="19"/>
      <c r="V20" s="19"/>
      <c r="W20" s="19"/>
      <c r="X20" s="19"/>
      <c r="Y20" s="19"/>
      <c r="Z20" s="19"/>
      <c r="AA20" s="19">
        <v>2</v>
      </c>
      <c r="AB20" s="19"/>
      <c r="AC20" s="19"/>
      <c r="AD20" s="19" t="b">
        <f>OR(Glossary!$R20&gt;0,Glossary!$S20&gt;0,Glossary!$T20&gt;0)</f>
        <v>0</v>
      </c>
      <c r="AE20" s="19" t="b">
        <v>0</v>
      </c>
      <c r="AF20" s="19">
        <v>0</v>
      </c>
      <c r="AG20" s="19">
        <v>6.0000000000000001E-3</v>
      </c>
      <c r="AH20" s="19"/>
      <c r="AI20" s="19"/>
      <c r="AJ20" s="19"/>
      <c r="AK20" s="19">
        <v>6.0000000000000001E-3</v>
      </c>
      <c r="AL20" s="19" t="b">
        <f t="shared" si="0"/>
        <v>0</v>
      </c>
      <c r="AM20" s="19"/>
      <c r="AN20" s="19"/>
      <c r="AO20" s="19" t="s">
        <v>233</v>
      </c>
      <c r="AP20" s="19"/>
      <c r="AQ20" s="19"/>
      <c r="AR20" s="19" t="b">
        <v>1</v>
      </c>
      <c r="AS20" s="19"/>
      <c r="AT20" s="19" t="b">
        <v>1</v>
      </c>
      <c r="AU20" s="19"/>
      <c r="AV20" s="19" t="b">
        <v>1</v>
      </c>
      <c r="AW20" s="19"/>
    </row>
    <row r="21" spans="1:49" ht="12.75" customHeight="1" x14ac:dyDescent="0.2">
      <c r="A21" s="19" t="s">
        <v>234</v>
      </c>
      <c r="B21" s="19" t="s">
        <v>235</v>
      </c>
      <c r="C21" s="34" t="s">
        <v>1027</v>
      </c>
      <c r="D21" s="34"/>
      <c r="E21" s="19" t="s">
        <v>236</v>
      </c>
      <c r="F21" s="20" t="s">
        <v>237</v>
      </c>
      <c r="G21" s="19" t="s">
        <v>238</v>
      </c>
      <c r="H21" s="19"/>
      <c r="I21" s="19"/>
      <c r="J21" s="19"/>
      <c r="K21" s="19"/>
      <c r="L21" s="19" t="b">
        <v>1</v>
      </c>
      <c r="M21" s="19"/>
      <c r="N21" s="19"/>
      <c r="O21" s="19"/>
      <c r="P21" s="34">
        <v>0</v>
      </c>
      <c r="Q21" s="34">
        <v>0</v>
      </c>
      <c r="R21" s="34">
        <v>0</v>
      </c>
      <c r="S21" s="34">
        <v>0</v>
      </c>
      <c r="T21" s="34">
        <v>0</v>
      </c>
      <c r="U21" s="19"/>
      <c r="V21" s="19"/>
      <c r="W21" s="19"/>
      <c r="X21" s="19"/>
      <c r="Y21" s="19"/>
      <c r="Z21" s="19"/>
      <c r="AA21" s="19"/>
      <c r="AB21" s="19"/>
      <c r="AC21" s="19"/>
      <c r="AD21" s="19" t="b">
        <v>1</v>
      </c>
      <c r="AE21" s="19" t="b">
        <v>0</v>
      </c>
      <c r="AF21" s="19">
        <v>0</v>
      </c>
      <c r="AG21" s="19">
        <v>0.01</v>
      </c>
      <c r="AH21" s="19"/>
      <c r="AI21" s="19"/>
      <c r="AJ21" s="19"/>
      <c r="AK21" s="19"/>
      <c r="AL21" s="19" t="str">
        <f t="shared" si="0"/>
        <v/>
      </c>
      <c r="AM21" s="19"/>
      <c r="AN21" s="19"/>
      <c r="AO21" s="19" t="s">
        <v>239</v>
      </c>
      <c r="AP21" s="19"/>
      <c r="AQ21" s="19"/>
      <c r="AR21" s="19"/>
      <c r="AS21" s="19"/>
      <c r="AT21" s="19"/>
      <c r="AU21" s="19" t="b">
        <v>1</v>
      </c>
      <c r="AV21" s="19"/>
      <c r="AW21" s="19" t="b">
        <v>1</v>
      </c>
    </row>
    <row r="22" spans="1:49" ht="12.75" customHeight="1" x14ac:dyDescent="0.2">
      <c r="A22" s="19" t="s">
        <v>240</v>
      </c>
      <c r="B22" s="19" t="s">
        <v>241</v>
      </c>
      <c r="C22" s="34" t="s">
        <v>1028</v>
      </c>
      <c r="D22" s="34"/>
      <c r="E22" s="19" t="s">
        <v>242</v>
      </c>
      <c r="F22" s="20" t="s">
        <v>243</v>
      </c>
      <c r="G22" s="19" t="s">
        <v>153</v>
      </c>
      <c r="H22" s="19" t="s">
        <v>244</v>
      </c>
      <c r="I22" s="19" t="s">
        <v>245</v>
      </c>
      <c r="J22" s="19"/>
      <c r="K22" s="19"/>
      <c r="L22" s="19"/>
      <c r="M22" s="19"/>
      <c r="N22" s="19"/>
      <c r="O22" s="19"/>
      <c r="P22" s="34">
        <v>0</v>
      </c>
      <c r="Q22" s="34">
        <v>0</v>
      </c>
      <c r="R22" s="34">
        <v>0</v>
      </c>
      <c r="S22" s="34">
        <v>0</v>
      </c>
      <c r="T22" s="34">
        <v>1</v>
      </c>
      <c r="U22" s="19"/>
      <c r="V22" s="19"/>
      <c r="W22" s="19"/>
      <c r="X22" s="19"/>
      <c r="Y22" s="19"/>
      <c r="Z22" s="19"/>
      <c r="AA22" s="19"/>
      <c r="AB22" s="19"/>
      <c r="AC22" s="19"/>
      <c r="AD22" s="19" t="b">
        <v>1</v>
      </c>
      <c r="AE22" s="19" t="s">
        <v>156</v>
      </c>
      <c r="AF22" s="19"/>
      <c r="AG22" s="19"/>
      <c r="AH22" s="19"/>
      <c r="AI22" s="19"/>
      <c r="AJ22" s="19"/>
      <c r="AK22" s="19"/>
      <c r="AL22" s="19" t="str">
        <f t="shared" si="0"/>
        <v/>
      </c>
      <c r="AM22" s="19"/>
      <c r="AN22" s="19"/>
      <c r="AO22" s="19" t="s">
        <v>246</v>
      </c>
      <c r="AP22" s="19"/>
      <c r="AQ22" s="19"/>
      <c r="AR22" s="19"/>
      <c r="AS22" s="19"/>
      <c r="AT22" s="19"/>
      <c r="AU22" s="19" t="b">
        <v>1</v>
      </c>
      <c r="AV22" s="19"/>
      <c r="AW22" s="19" t="b">
        <v>1</v>
      </c>
    </row>
    <row r="23" spans="1:49" ht="12.75" customHeight="1" x14ac:dyDescent="0.2">
      <c r="A23" s="19" t="s">
        <v>247</v>
      </c>
      <c r="B23" s="19" t="s">
        <v>248</v>
      </c>
      <c r="C23" s="34" t="s">
        <v>967</v>
      </c>
      <c r="D23" s="34" t="s">
        <v>249</v>
      </c>
      <c r="E23" s="19" t="s">
        <v>250</v>
      </c>
      <c r="F23" s="19" t="s">
        <v>251</v>
      </c>
      <c r="G23" s="19" t="s">
        <v>83</v>
      </c>
      <c r="H23" s="19" t="s">
        <v>141</v>
      </c>
      <c r="I23" s="19" t="s">
        <v>100</v>
      </c>
      <c r="J23" s="19" t="b">
        <v>1</v>
      </c>
      <c r="K23" s="19"/>
      <c r="L23" s="19"/>
      <c r="M23" s="19"/>
      <c r="N23" s="19"/>
      <c r="O23" s="19"/>
      <c r="P23" s="34">
        <v>6</v>
      </c>
      <c r="Q23" s="34">
        <v>0</v>
      </c>
      <c r="R23" s="34">
        <v>0</v>
      </c>
      <c r="S23" s="34">
        <v>0</v>
      </c>
      <c r="T23" s="34">
        <v>1</v>
      </c>
      <c r="U23" s="19"/>
      <c r="V23" s="19"/>
      <c r="W23" s="19"/>
      <c r="X23" s="19"/>
      <c r="Y23" s="19"/>
      <c r="Z23" s="19"/>
      <c r="AA23" s="19"/>
      <c r="AB23" s="19"/>
      <c r="AC23" s="19"/>
      <c r="AD23" s="19" t="b">
        <f>OR(Glossary!$R21&gt;0,Glossary!$S21&gt;0,Glossary!$T21&gt;0)</f>
        <v>0</v>
      </c>
      <c r="AE23" s="19" t="b">
        <v>0</v>
      </c>
      <c r="AF23" s="19"/>
      <c r="AG23" s="19"/>
      <c r="AH23" s="19"/>
      <c r="AI23" s="19"/>
      <c r="AJ23" s="19"/>
      <c r="AK23" s="19"/>
      <c r="AL23" s="19" t="str">
        <f t="shared" si="0"/>
        <v/>
      </c>
      <c r="AM23" s="19"/>
      <c r="AN23" s="19"/>
      <c r="AO23" s="19" t="s">
        <v>252</v>
      </c>
      <c r="AP23" s="19"/>
      <c r="AQ23" s="19"/>
      <c r="AR23" s="19" t="b">
        <v>1</v>
      </c>
      <c r="AS23" s="19"/>
      <c r="AT23" s="19"/>
      <c r="AU23" s="19"/>
      <c r="AV23" s="19"/>
      <c r="AW23" s="19"/>
    </row>
    <row r="24" spans="1:49" ht="12.75" customHeight="1" x14ac:dyDescent="0.2">
      <c r="A24" s="19" t="s">
        <v>253</v>
      </c>
      <c r="B24" s="19" t="s">
        <v>254</v>
      </c>
      <c r="C24" s="34" t="s">
        <v>968</v>
      </c>
      <c r="D24" s="34" t="s">
        <v>255</v>
      </c>
      <c r="E24" s="19" t="s">
        <v>256</v>
      </c>
      <c r="F24" s="19" t="s">
        <v>257</v>
      </c>
      <c r="G24" s="19" t="s">
        <v>225</v>
      </c>
      <c r="H24" s="19" t="s">
        <v>226</v>
      </c>
      <c r="I24" s="19" t="s">
        <v>258</v>
      </c>
      <c r="J24" s="19"/>
      <c r="K24" s="19"/>
      <c r="L24" s="19"/>
      <c r="M24" s="19"/>
      <c r="N24" s="19"/>
      <c r="O24" s="19"/>
      <c r="P24" s="34">
        <v>1</v>
      </c>
      <c r="Q24" s="34">
        <v>0</v>
      </c>
      <c r="R24" s="34">
        <v>0</v>
      </c>
      <c r="S24" s="34">
        <v>1</v>
      </c>
      <c r="T24" s="34">
        <v>1</v>
      </c>
      <c r="U24" s="19"/>
      <c r="V24" s="19"/>
      <c r="W24" s="19"/>
      <c r="X24" s="19"/>
      <c r="Y24" s="19"/>
      <c r="Z24" s="19"/>
      <c r="AA24" s="19"/>
      <c r="AB24" s="19"/>
      <c r="AC24" s="19"/>
      <c r="AD24" s="19" t="b">
        <f>OR(Glossary!$R22&gt;0,Glossary!$S22&gt;0,Glossary!$T22&gt;0)</f>
        <v>1</v>
      </c>
      <c r="AE24" s="19" t="b">
        <v>1</v>
      </c>
      <c r="AF24" s="19"/>
      <c r="AG24" s="19"/>
      <c r="AH24" s="19"/>
      <c r="AI24" s="19"/>
      <c r="AJ24" s="19"/>
      <c r="AK24" s="19"/>
      <c r="AL24" s="19" t="str">
        <f t="shared" si="0"/>
        <v/>
      </c>
      <c r="AM24" s="19"/>
      <c r="AN24" s="19"/>
      <c r="AO24" s="19" t="s">
        <v>259</v>
      </c>
      <c r="AP24" s="19"/>
      <c r="AQ24" s="19"/>
      <c r="AR24" s="19" t="b">
        <v>1</v>
      </c>
      <c r="AS24" s="19"/>
      <c r="AT24" s="19"/>
      <c r="AU24" s="19"/>
      <c r="AV24" s="19"/>
      <c r="AW24" s="19"/>
    </row>
    <row r="25" spans="1:49" ht="12.75" customHeight="1" x14ac:dyDescent="0.2">
      <c r="A25" s="19" t="s">
        <v>260</v>
      </c>
      <c r="B25" s="19" t="s">
        <v>261</v>
      </c>
      <c r="C25" s="34" t="s">
        <v>969</v>
      </c>
      <c r="D25" s="34"/>
      <c r="E25" s="19" t="s">
        <v>262</v>
      </c>
      <c r="F25" s="19" t="s">
        <v>263</v>
      </c>
      <c r="G25" s="19" t="s">
        <v>225</v>
      </c>
      <c r="H25" s="19" t="s">
        <v>226</v>
      </c>
      <c r="I25" s="19" t="s">
        <v>258</v>
      </c>
      <c r="J25" s="19"/>
      <c r="K25" s="19"/>
      <c r="L25" s="19" t="b">
        <v>1</v>
      </c>
      <c r="M25" s="19"/>
      <c r="N25" s="19"/>
      <c r="O25" s="19"/>
      <c r="P25" s="34">
        <v>1</v>
      </c>
      <c r="Q25" s="34">
        <v>0</v>
      </c>
      <c r="R25" s="34">
        <v>0</v>
      </c>
      <c r="S25" s="34">
        <v>2</v>
      </c>
      <c r="T25" s="34">
        <v>1</v>
      </c>
      <c r="U25" s="19"/>
      <c r="V25" s="19"/>
      <c r="W25" s="19"/>
      <c r="X25" s="19"/>
      <c r="Y25" s="19"/>
      <c r="Z25" s="19"/>
      <c r="AA25" s="19"/>
      <c r="AB25" s="19"/>
      <c r="AC25" s="19"/>
      <c r="AD25" s="19" t="b">
        <f>OR(Glossary!$R23&gt;0,Glossary!$S23&gt;0,Glossary!$T23&gt;0)</f>
        <v>1</v>
      </c>
      <c r="AE25" s="19" t="b">
        <v>1</v>
      </c>
      <c r="AF25" s="19">
        <v>0</v>
      </c>
      <c r="AG25" s="19"/>
      <c r="AH25" s="19" t="s">
        <v>264</v>
      </c>
      <c r="AI25" s="19"/>
      <c r="AJ25" s="19"/>
      <c r="AK25" s="19"/>
      <c r="AL25" s="19" t="str">
        <f t="shared" si="0"/>
        <v/>
      </c>
      <c r="AM25" s="19"/>
      <c r="AN25" s="19"/>
      <c r="AO25" s="19" t="s">
        <v>265</v>
      </c>
      <c r="AP25" s="19"/>
      <c r="AQ25" s="19"/>
      <c r="AR25" s="19" t="b">
        <v>1</v>
      </c>
      <c r="AS25" s="19"/>
      <c r="AT25" s="19"/>
      <c r="AU25" s="19"/>
      <c r="AV25" s="19" t="b">
        <v>1</v>
      </c>
      <c r="AW25" s="19"/>
    </row>
    <row r="26" spans="1:49" ht="12.75" customHeight="1" x14ac:dyDescent="0.2">
      <c r="A26" s="19" t="s">
        <v>266</v>
      </c>
      <c r="B26" s="19" t="s">
        <v>267</v>
      </c>
      <c r="C26" s="34" t="s">
        <v>970</v>
      </c>
      <c r="D26" s="34" t="s">
        <v>268</v>
      </c>
      <c r="E26" s="19" t="s">
        <v>269</v>
      </c>
      <c r="F26" s="19" t="s">
        <v>270</v>
      </c>
      <c r="G26" s="19" t="s">
        <v>225</v>
      </c>
      <c r="H26" s="19" t="s">
        <v>226</v>
      </c>
      <c r="I26" s="19" t="s">
        <v>258</v>
      </c>
      <c r="J26" s="19"/>
      <c r="K26" s="19"/>
      <c r="L26" s="19" t="b">
        <v>1</v>
      </c>
      <c r="M26" s="19"/>
      <c r="N26" s="19"/>
      <c r="O26" s="19"/>
      <c r="P26" s="34">
        <v>1</v>
      </c>
      <c r="Q26" s="34">
        <v>0</v>
      </c>
      <c r="R26" s="34">
        <v>0</v>
      </c>
      <c r="S26" s="34">
        <v>0</v>
      </c>
      <c r="T26" s="34">
        <v>3</v>
      </c>
      <c r="U26" s="19"/>
      <c r="V26" s="19"/>
      <c r="W26" s="19"/>
      <c r="X26" s="19"/>
      <c r="Y26" s="19"/>
      <c r="Z26" s="19"/>
      <c r="AA26" s="19"/>
      <c r="AB26" s="19"/>
      <c r="AC26" s="19"/>
      <c r="AD26" s="19" t="b">
        <f>OR(Glossary!$R24&gt;0,Glossary!$S24&gt;0,Glossary!$T24&gt;0)</f>
        <v>1</v>
      </c>
      <c r="AE26" s="19" t="b">
        <v>1</v>
      </c>
      <c r="AF26" s="19">
        <v>0</v>
      </c>
      <c r="AG26" s="19"/>
      <c r="AH26" s="19" t="s">
        <v>264</v>
      </c>
      <c r="AI26" s="19"/>
      <c r="AJ26" s="19"/>
      <c r="AK26" s="19"/>
      <c r="AL26" s="19" t="str">
        <f t="shared" si="0"/>
        <v/>
      </c>
      <c r="AM26" s="19"/>
      <c r="AN26" s="19"/>
      <c r="AO26" s="19" t="s">
        <v>271</v>
      </c>
      <c r="AP26" s="19"/>
      <c r="AQ26" s="19"/>
      <c r="AR26" s="19" t="b">
        <v>1</v>
      </c>
      <c r="AS26" s="19"/>
      <c r="AT26" s="19"/>
      <c r="AU26" s="19"/>
      <c r="AV26" s="19" t="b">
        <v>1</v>
      </c>
      <c r="AW26" s="19"/>
    </row>
    <row r="27" spans="1:49" ht="12.75" customHeight="1" x14ac:dyDescent="0.2">
      <c r="A27" s="19" t="s">
        <v>272</v>
      </c>
      <c r="B27" s="19" t="s">
        <v>273</v>
      </c>
      <c r="C27" s="34" t="s">
        <v>971</v>
      </c>
      <c r="D27" s="34" t="s">
        <v>274</v>
      </c>
      <c r="E27" s="19" t="s">
        <v>275</v>
      </c>
      <c r="F27" s="19" t="s">
        <v>276</v>
      </c>
      <c r="G27" s="19" t="s">
        <v>225</v>
      </c>
      <c r="H27" s="19" t="s">
        <v>226</v>
      </c>
      <c r="I27" s="19" t="s">
        <v>258</v>
      </c>
      <c r="J27" s="19"/>
      <c r="K27" s="19"/>
      <c r="L27" s="19"/>
      <c r="M27" s="19"/>
      <c r="N27" s="19"/>
      <c r="O27" s="19" t="b">
        <v>1</v>
      </c>
      <c r="P27" s="34">
        <v>1</v>
      </c>
      <c r="Q27" s="34">
        <v>0</v>
      </c>
      <c r="R27" s="34">
        <v>0</v>
      </c>
      <c r="S27" s="34">
        <v>0</v>
      </c>
      <c r="T27" s="34">
        <v>1</v>
      </c>
      <c r="U27" s="19"/>
      <c r="V27" s="19"/>
      <c r="W27" s="19"/>
      <c r="X27" s="19"/>
      <c r="Y27" s="19"/>
      <c r="Z27" s="19"/>
      <c r="AA27" s="19"/>
      <c r="AB27" s="19"/>
      <c r="AC27" s="19"/>
      <c r="AD27" s="19" t="b">
        <f>OR(Glossary!$R25&gt;0,Glossary!$S25&gt;0,Glossary!$T25&gt;0)</f>
        <v>1</v>
      </c>
      <c r="AE27" s="19" t="b">
        <v>1</v>
      </c>
      <c r="AF27" s="19"/>
      <c r="AG27" s="19"/>
      <c r="AH27" s="19"/>
      <c r="AI27" s="19"/>
      <c r="AJ27" s="19"/>
      <c r="AK27" s="19"/>
      <c r="AL27" s="19" t="str">
        <f t="shared" si="0"/>
        <v/>
      </c>
      <c r="AM27" s="19" t="b">
        <v>1</v>
      </c>
      <c r="AN27" s="19"/>
      <c r="AO27" s="19" t="s">
        <v>277</v>
      </c>
      <c r="AP27" s="19"/>
      <c r="AQ27" s="19"/>
      <c r="AR27" s="19" t="b">
        <v>1</v>
      </c>
      <c r="AS27" s="19"/>
      <c r="AT27" s="19"/>
      <c r="AU27" s="19"/>
      <c r="AV27" s="19"/>
      <c r="AW27" s="19"/>
    </row>
    <row r="28" spans="1:49" ht="12.75" customHeight="1" x14ac:dyDescent="0.2">
      <c r="A28" s="19" t="s">
        <v>278</v>
      </c>
      <c r="B28" s="19" t="s">
        <v>279</v>
      </c>
      <c r="C28" s="34" t="s">
        <v>972</v>
      </c>
      <c r="D28" s="34" t="s">
        <v>280</v>
      </c>
      <c r="E28" s="19" t="s">
        <v>281</v>
      </c>
      <c r="F28" s="19" t="s">
        <v>282</v>
      </c>
      <c r="G28" s="19" t="s">
        <v>225</v>
      </c>
      <c r="H28" s="19" t="s">
        <v>226</v>
      </c>
      <c r="I28" s="19" t="s">
        <v>258</v>
      </c>
      <c r="J28" s="19"/>
      <c r="K28" s="19"/>
      <c r="L28" s="19"/>
      <c r="M28" s="19"/>
      <c r="N28" s="19"/>
      <c r="O28" s="19"/>
      <c r="P28" s="34">
        <v>4</v>
      </c>
      <c r="Q28" s="34">
        <v>0</v>
      </c>
      <c r="R28" s="34">
        <v>0</v>
      </c>
      <c r="S28" s="34">
        <v>0</v>
      </c>
      <c r="T28" s="34">
        <v>0</v>
      </c>
      <c r="U28" s="19"/>
      <c r="V28" s="19"/>
      <c r="W28" s="19"/>
      <c r="X28" s="19"/>
      <c r="Y28" s="19">
        <v>1</v>
      </c>
      <c r="Z28" s="19"/>
      <c r="AA28" s="19"/>
      <c r="AB28" s="19"/>
      <c r="AC28" s="19"/>
      <c r="AD28" s="19" t="b">
        <f>OR(Glossary!$R26&gt;0,Glossary!$S26&gt;0,Glossary!$T26&gt;0)</f>
        <v>1</v>
      </c>
      <c r="AE28" s="19" t="b">
        <v>0</v>
      </c>
      <c r="AF28" s="19"/>
      <c r="AG28" s="19"/>
      <c r="AH28" s="19"/>
      <c r="AI28" s="19"/>
      <c r="AJ28" s="19"/>
      <c r="AK28" s="19"/>
      <c r="AL28" s="19" t="str">
        <f t="shared" si="0"/>
        <v/>
      </c>
      <c r="AM28" s="19"/>
      <c r="AN28" s="19"/>
      <c r="AO28" s="19" t="s">
        <v>283</v>
      </c>
      <c r="AP28" s="19"/>
      <c r="AQ28" s="19"/>
      <c r="AR28" s="19" t="b">
        <v>1</v>
      </c>
      <c r="AS28" s="19"/>
      <c r="AT28" s="19"/>
      <c r="AU28" s="19"/>
      <c r="AV28" s="19"/>
      <c r="AW28" s="19"/>
    </row>
    <row r="29" spans="1:49" ht="12.75" customHeight="1" x14ac:dyDescent="0.2">
      <c r="A29" s="19" t="s">
        <v>284</v>
      </c>
      <c r="B29" s="19" t="s">
        <v>285</v>
      </c>
      <c r="C29" s="34" t="s">
        <v>973</v>
      </c>
      <c r="D29" s="34" t="s">
        <v>286</v>
      </c>
      <c r="E29" s="19" t="s">
        <v>287</v>
      </c>
      <c r="F29" s="19" t="s">
        <v>288</v>
      </c>
      <c r="G29" s="19" t="s">
        <v>83</v>
      </c>
      <c r="H29" s="19" t="s">
        <v>141</v>
      </c>
      <c r="I29" s="19" t="s">
        <v>289</v>
      </c>
      <c r="J29" s="19" t="b">
        <v>1</v>
      </c>
      <c r="K29" s="19"/>
      <c r="L29" s="19"/>
      <c r="M29" s="19"/>
      <c r="N29" s="19"/>
      <c r="O29" s="19"/>
      <c r="P29" s="34">
        <v>10</v>
      </c>
      <c r="Q29" s="34">
        <v>0</v>
      </c>
      <c r="R29" s="34">
        <v>0</v>
      </c>
      <c r="S29" s="34">
        <v>0</v>
      </c>
      <c r="T29" s="34">
        <v>0</v>
      </c>
      <c r="U29" s="19"/>
      <c r="V29" s="19"/>
      <c r="W29" s="19"/>
      <c r="X29" s="19"/>
      <c r="Y29" s="19"/>
      <c r="Z29" s="19"/>
      <c r="AA29" s="19"/>
      <c r="AB29" s="19"/>
      <c r="AC29" s="19"/>
      <c r="AD29" s="19" t="b">
        <f>OR(Glossary!$R27&gt;0,Glossary!$S27&gt;0,Glossary!$T27&gt;0)</f>
        <v>1</v>
      </c>
      <c r="AE29" s="19" t="b">
        <v>0</v>
      </c>
      <c r="AF29" s="19"/>
      <c r="AG29" s="19"/>
      <c r="AH29" s="19"/>
      <c r="AI29" s="19"/>
      <c r="AJ29" s="19"/>
      <c r="AK29" s="19"/>
      <c r="AL29" s="19" t="str">
        <f t="shared" si="0"/>
        <v/>
      </c>
      <c r="AM29" s="19"/>
      <c r="AN29" s="19"/>
      <c r="AO29" s="19" t="s">
        <v>290</v>
      </c>
      <c r="AP29" s="19"/>
      <c r="AQ29" s="19"/>
      <c r="AR29" s="19" t="b">
        <v>1</v>
      </c>
      <c r="AS29" s="19"/>
      <c r="AT29" s="19"/>
      <c r="AU29" s="19" t="b">
        <v>1</v>
      </c>
      <c r="AV29" s="19" t="b">
        <v>1</v>
      </c>
      <c r="AW29" s="19"/>
    </row>
    <row r="30" spans="1:49" ht="12.75" customHeight="1" x14ac:dyDescent="0.2">
      <c r="A30" s="19" t="s">
        <v>291</v>
      </c>
      <c r="B30" s="19" t="s">
        <v>292</v>
      </c>
      <c r="C30" s="34" t="s">
        <v>973</v>
      </c>
      <c r="D30" s="34" t="s">
        <v>293</v>
      </c>
      <c r="E30" s="19" t="s">
        <v>294</v>
      </c>
      <c r="F30" s="19" t="s">
        <v>295</v>
      </c>
      <c r="G30" s="19" t="s">
        <v>83</v>
      </c>
      <c r="H30" s="19" t="s">
        <v>141</v>
      </c>
      <c r="I30" s="19" t="s">
        <v>289</v>
      </c>
      <c r="J30" s="19" t="b">
        <v>1</v>
      </c>
      <c r="K30" s="19"/>
      <c r="L30" s="19"/>
      <c r="M30" s="19"/>
      <c r="N30" s="19"/>
      <c r="O30" s="19"/>
      <c r="P30" s="34">
        <v>10</v>
      </c>
      <c r="Q30" s="34">
        <v>0</v>
      </c>
      <c r="R30" s="34">
        <v>0</v>
      </c>
      <c r="S30" s="34">
        <v>0</v>
      </c>
      <c r="T30" s="34">
        <v>0</v>
      </c>
      <c r="U30" s="19"/>
      <c r="V30" s="19"/>
      <c r="W30" s="19"/>
      <c r="X30" s="19"/>
      <c r="Y30" s="19"/>
      <c r="Z30" s="19"/>
      <c r="AA30" s="19"/>
      <c r="AB30" s="19"/>
      <c r="AC30" s="19"/>
      <c r="AD30" s="19" t="b">
        <f>OR(Glossary!$R28&gt;0,Glossary!$S28&gt;0,Glossary!$T28&gt;0)</f>
        <v>0</v>
      </c>
      <c r="AE30" s="19" t="b">
        <v>0</v>
      </c>
      <c r="AF30" s="19"/>
      <c r="AG30" s="19"/>
      <c r="AH30" s="19"/>
      <c r="AI30" s="19"/>
      <c r="AJ30" s="19"/>
      <c r="AK30" s="19"/>
      <c r="AL30" s="19" t="str">
        <f t="shared" si="0"/>
        <v/>
      </c>
      <c r="AM30" s="19"/>
      <c r="AN30" s="19"/>
      <c r="AO30" s="19" t="s">
        <v>296</v>
      </c>
      <c r="AP30" s="19"/>
      <c r="AQ30" s="19"/>
      <c r="AR30" s="19" t="b">
        <v>1</v>
      </c>
      <c r="AS30" s="19"/>
      <c r="AT30" s="19"/>
      <c r="AU30" s="19" t="b">
        <v>1</v>
      </c>
      <c r="AV30" s="19" t="b">
        <v>1</v>
      </c>
      <c r="AW30" s="19"/>
    </row>
    <row r="31" spans="1:49" ht="12.75" customHeight="1" x14ac:dyDescent="0.2">
      <c r="A31" s="19" t="s">
        <v>297</v>
      </c>
      <c r="B31" s="19" t="s">
        <v>298</v>
      </c>
      <c r="C31" s="34" t="s">
        <v>973</v>
      </c>
      <c r="D31" s="34" t="s">
        <v>299</v>
      </c>
      <c r="E31" s="19" t="s">
        <v>300</v>
      </c>
      <c r="F31" s="19" t="s">
        <v>301</v>
      </c>
      <c r="G31" s="19" t="s">
        <v>83</v>
      </c>
      <c r="H31" s="19" t="s">
        <v>141</v>
      </c>
      <c r="I31" s="19" t="s">
        <v>289</v>
      </c>
      <c r="J31" s="19" t="b">
        <v>1</v>
      </c>
      <c r="K31" s="19"/>
      <c r="L31" s="19"/>
      <c r="M31" s="19"/>
      <c r="N31" s="19"/>
      <c r="O31" s="19"/>
      <c r="P31" s="34">
        <v>10</v>
      </c>
      <c r="Q31" s="34">
        <v>0</v>
      </c>
      <c r="R31" s="34">
        <v>0</v>
      </c>
      <c r="S31" s="34">
        <v>0</v>
      </c>
      <c r="T31" s="34">
        <v>0</v>
      </c>
      <c r="U31" s="19"/>
      <c r="V31" s="19"/>
      <c r="W31" s="19"/>
      <c r="X31" s="19"/>
      <c r="Y31" s="19"/>
      <c r="Z31" s="19"/>
      <c r="AA31" s="19"/>
      <c r="AB31" s="19"/>
      <c r="AC31" s="19"/>
      <c r="AD31" s="19" t="b">
        <f>OR(Glossary!$R29&gt;0,Glossary!$S29&gt;0,Glossary!$T29&gt;0)</f>
        <v>0</v>
      </c>
      <c r="AE31" s="19" t="b">
        <v>0</v>
      </c>
      <c r="AF31" s="19"/>
      <c r="AG31" s="19"/>
      <c r="AH31" s="19"/>
      <c r="AI31" s="19"/>
      <c r="AJ31" s="19"/>
      <c r="AK31" s="19"/>
      <c r="AL31" s="19" t="str">
        <f t="shared" si="0"/>
        <v/>
      </c>
      <c r="AM31" s="19"/>
      <c r="AN31" s="19"/>
      <c r="AO31" s="19" t="s">
        <v>302</v>
      </c>
      <c r="AP31" s="19"/>
      <c r="AQ31" s="19"/>
      <c r="AR31" s="19" t="b">
        <v>1</v>
      </c>
      <c r="AS31" s="19"/>
      <c r="AT31" s="19"/>
      <c r="AU31" s="19" t="b">
        <v>1</v>
      </c>
      <c r="AV31" s="19" t="b">
        <v>1</v>
      </c>
      <c r="AW31" s="19"/>
    </row>
    <row r="32" spans="1:49" ht="12.75" customHeight="1" x14ac:dyDescent="0.2">
      <c r="A32" s="19" t="s">
        <v>303</v>
      </c>
      <c r="B32" s="19" t="s">
        <v>304</v>
      </c>
      <c r="C32" s="34" t="s">
        <v>974</v>
      </c>
      <c r="D32" s="34"/>
      <c r="E32" s="19" t="s">
        <v>305</v>
      </c>
      <c r="F32" s="19" t="s">
        <v>306</v>
      </c>
      <c r="G32" s="19" t="s">
        <v>153</v>
      </c>
      <c r="H32" s="19" t="s">
        <v>173</v>
      </c>
      <c r="I32" s="19" t="s">
        <v>307</v>
      </c>
      <c r="J32" s="19"/>
      <c r="K32" s="19"/>
      <c r="L32" s="19"/>
      <c r="M32" s="19"/>
      <c r="N32" s="19"/>
      <c r="O32" s="19"/>
      <c r="P32" s="34">
        <v>0</v>
      </c>
      <c r="Q32" s="34">
        <v>0</v>
      </c>
      <c r="R32" s="34">
        <v>0</v>
      </c>
      <c r="S32" s="34">
        <v>0</v>
      </c>
      <c r="T32" s="34">
        <v>0</v>
      </c>
      <c r="U32" s="19"/>
      <c r="V32" s="19"/>
      <c r="W32" s="19"/>
      <c r="X32" s="19"/>
      <c r="Y32" s="19"/>
      <c r="Z32" s="19"/>
      <c r="AA32" s="19"/>
      <c r="AB32" s="19"/>
      <c r="AC32" s="19"/>
      <c r="AD32" s="19" t="b">
        <f>OR(Glossary!$R30&gt;0,Glossary!$S30&gt;0,Glossary!$T30&gt;0)</f>
        <v>0</v>
      </c>
      <c r="AE32" s="19" t="s">
        <v>156</v>
      </c>
      <c r="AF32" s="19">
        <v>5.0000000000000001E-3</v>
      </c>
      <c r="AG32" s="19">
        <v>5.0000000000000001E-3</v>
      </c>
      <c r="AH32" s="19"/>
      <c r="AI32" s="19"/>
      <c r="AJ32" s="19"/>
      <c r="AK32" s="19">
        <v>5.0000000000000001E-3</v>
      </c>
      <c r="AL32" s="19" t="b">
        <f t="shared" si="0"/>
        <v>0</v>
      </c>
      <c r="AM32" s="19"/>
      <c r="AN32" s="19"/>
      <c r="AO32" s="19" t="s">
        <v>308</v>
      </c>
      <c r="AP32" s="19"/>
      <c r="AQ32" s="19" t="s">
        <v>73</v>
      </c>
      <c r="AR32" s="19" t="b">
        <v>1</v>
      </c>
      <c r="AS32" s="19"/>
      <c r="AT32" s="19" t="b">
        <v>1</v>
      </c>
      <c r="AU32" s="19"/>
      <c r="AV32" s="19" t="b">
        <v>1</v>
      </c>
      <c r="AW32" s="19"/>
    </row>
    <row r="33" spans="1:49" ht="12.75" customHeight="1" x14ac:dyDescent="0.2">
      <c r="A33" s="19" t="s">
        <v>309</v>
      </c>
      <c r="B33" s="19" t="s">
        <v>310</v>
      </c>
      <c r="C33" s="34" t="s">
        <v>1029</v>
      </c>
      <c r="D33" s="34"/>
      <c r="E33" s="19" t="s">
        <v>311</v>
      </c>
      <c r="F33" s="21" t="s">
        <v>312</v>
      </c>
      <c r="G33" s="19" t="s">
        <v>153</v>
      </c>
      <c r="H33" s="19" t="s">
        <v>173</v>
      </c>
      <c r="I33" s="19" t="s">
        <v>174</v>
      </c>
      <c r="J33" s="19"/>
      <c r="K33" s="19"/>
      <c r="L33" s="19"/>
      <c r="M33" s="19"/>
      <c r="N33" s="19"/>
      <c r="O33" s="19"/>
      <c r="P33" s="34">
        <v>0</v>
      </c>
      <c r="Q33" s="34">
        <v>0</v>
      </c>
      <c r="R33" s="34">
        <v>0</v>
      </c>
      <c r="S33" s="34">
        <v>0</v>
      </c>
      <c r="T33" s="34">
        <v>0</v>
      </c>
      <c r="U33" s="19"/>
      <c r="V33" s="19"/>
      <c r="W33" s="19"/>
      <c r="X33" s="19"/>
      <c r="Y33" s="19"/>
      <c r="Z33" s="19"/>
      <c r="AA33" s="19"/>
      <c r="AB33" s="19"/>
      <c r="AC33" s="19"/>
      <c r="AD33" s="19" t="b">
        <v>0</v>
      </c>
      <c r="AE33" s="19" t="s">
        <v>156</v>
      </c>
      <c r="AF33" s="19"/>
      <c r="AG33" s="19"/>
      <c r="AH33" s="19"/>
      <c r="AI33" s="19"/>
      <c r="AJ33" s="19"/>
      <c r="AK33" s="19"/>
      <c r="AL33" s="19" t="str">
        <f t="shared" si="0"/>
        <v/>
      </c>
      <c r="AM33" s="19"/>
      <c r="AN33" s="19"/>
      <c r="AO33" s="19" t="s">
        <v>313</v>
      </c>
      <c r="AP33" s="19"/>
      <c r="AQ33" s="19" t="s">
        <v>74</v>
      </c>
      <c r="AR33" s="19"/>
      <c r="AS33" s="19"/>
      <c r="AT33" s="19"/>
      <c r="AU33" s="19" t="b">
        <v>1</v>
      </c>
      <c r="AV33" s="19"/>
      <c r="AW33" s="19" t="b">
        <v>1</v>
      </c>
    </row>
    <row r="34" spans="1:49" ht="12.75" customHeight="1" x14ac:dyDescent="0.2">
      <c r="A34" s="19" t="s">
        <v>314</v>
      </c>
      <c r="B34" s="19" t="s">
        <v>315</v>
      </c>
      <c r="C34" s="34" t="s">
        <v>975</v>
      </c>
      <c r="D34" s="34" t="s">
        <v>316</v>
      </c>
      <c r="E34" s="19" t="s">
        <v>317</v>
      </c>
      <c r="F34" s="19" t="s">
        <v>318</v>
      </c>
      <c r="G34" s="19" t="s">
        <v>225</v>
      </c>
      <c r="H34" s="19" t="s">
        <v>226</v>
      </c>
      <c r="I34" s="19" t="s">
        <v>258</v>
      </c>
      <c r="J34" s="19"/>
      <c r="K34" s="19"/>
      <c r="L34" s="19"/>
      <c r="M34" s="19"/>
      <c r="N34" s="19"/>
      <c r="O34" s="19"/>
      <c r="P34" s="34">
        <v>1</v>
      </c>
      <c r="Q34" s="34">
        <v>0</v>
      </c>
      <c r="R34" s="34">
        <v>0</v>
      </c>
      <c r="S34" s="34">
        <v>4</v>
      </c>
      <c r="T34" s="34">
        <v>0</v>
      </c>
      <c r="U34" s="19"/>
      <c r="V34" s="19"/>
      <c r="W34" s="19"/>
      <c r="X34" s="19"/>
      <c r="Y34" s="19"/>
      <c r="Z34" s="19"/>
      <c r="AA34" s="19"/>
      <c r="AB34" s="19"/>
      <c r="AC34" s="19"/>
      <c r="AD34" s="19" t="b">
        <f>OR(Glossary!$R31&gt;0,Glossary!$S31&gt;0,Glossary!$T31&gt;0)</f>
        <v>0</v>
      </c>
      <c r="AE34" s="19" t="b">
        <v>1</v>
      </c>
      <c r="AF34" s="19">
        <v>0</v>
      </c>
      <c r="AG34" s="19">
        <v>5.0000000000000001E-3</v>
      </c>
      <c r="AH34" s="19"/>
      <c r="AI34" s="19"/>
      <c r="AJ34" s="19"/>
      <c r="AK34" s="19"/>
      <c r="AL34" s="19" t="str">
        <f t="shared" ref="AL34:AL65" si="1">IF(ISBLANK(AK34),"",AK34&lt;AG34)</f>
        <v/>
      </c>
      <c r="AM34" s="19" t="b">
        <v>1</v>
      </c>
      <c r="AN34" s="19"/>
      <c r="AO34" s="19" t="s">
        <v>319</v>
      </c>
      <c r="AP34" s="19"/>
      <c r="AQ34" s="19"/>
      <c r="AR34" s="19" t="b">
        <v>1</v>
      </c>
      <c r="AS34" s="19"/>
      <c r="AT34" s="19" t="b">
        <v>1</v>
      </c>
      <c r="AU34" s="19"/>
      <c r="AV34" s="19" t="b">
        <v>1</v>
      </c>
      <c r="AW34" s="19"/>
    </row>
    <row r="35" spans="1:49" ht="12.75" customHeight="1" x14ac:dyDescent="0.2">
      <c r="A35" s="19" t="s">
        <v>320</v>
      </c>
      <c r="B35" s="19" t="s">
        <v>321</v>
      </c>
      <c r="C35" s="34" t="s">
        <v>1030</v>
      </c>
      <c r="D35" s="34"/>
      <c r="E35" s="19" t="s">
        <v>322</v>
      </c>
      <c r="F35" s="21" t="s">
        <v>323</v>
      </c>
      <c r="G35" s="19" t="s">
        <v>238</v>
      </c>
      <c r="H35" s="19"/>
      <c r="I35" s="19"/>
      <c r="J35" s="19"/>
      <c r="K35" s="19"/>
      <c r="L35" s="19" t="b">
        <v>1</v>
      </c>
      <c r="M35" s="19"/>
      <c r="N35" s="19"/>
      <c r="O35" s="19"/>
      <c r="P35" s="34">
        <v>0</v>
      </c>
      <c r="Q35" s="34">
        <v>0</v>
      </c>
      <c r="R35" s="34">
        <v>0</v>
      </c>
      <c r="S35" s="34">
        <v>1</v>
      </c>
      <c r="T35" s="34">
        <v>0</v>
      </c>
      <c r="U35" s="19"/>
      <c r="V35" s="19"/>
      <c r="W35" s="19"/>
      <c r="X35" s="19"/>
      <c r="Y35" s="19"/>
      <c r="Z35" s="19"/>
      <c r="AA35" s="19"/>
      <c r="AB35" s="19"/>
      <c r="AC35" s="19"/>
      <c r="AD35" s="19" t="b">
        <v>1</v>
      </c>
      <c r="AE35" s="19" t="b">
        <v>0</v>
      </c>
      <c r="AF35" s="19"/>
      <c r="AG35" s="19"/>
      <c r="AH35" s="19"/>
      <c r="AI35" s="19"/>
      <c r="AJ35" s="19"/>
      <c r="AK35" s="19"/>
      <c r="AL35" s="19" t="str">
        <f t="shared" si="1"/>
        <v/>
      </c>
      <c r="AM35" s="19"/>
      <c r="AN35" s="19"/>
      <c r="AO35" s="19" t="s">
        <v>324</v>
      </c>
      <c r="AP35" s="19"/>
      <c r="AQ35" s="19"/>
      <c r="AR35" s="19"/>
      <c r="AS35" s="19"/>
      <c r="AT35" s="19"/>
      <c r="AU35" s="19" t="b">
        <v>1</v>
      </c>
      <c r="AV35" s="19"/>
      <c r="AW35" s="19" t="b">
        <v>1</v>
      </c>
    </row>
    <row r="36" spans="1:49" ht="12.75" customHeight="1" x14ac:dyDescent="0.2">
      <c r="A36" s="19" t="s">
        <v>325</v>
      </c>
      <c r="B36" s="19" t="s">
        <v>326</v>
      </c>
      <c r="C36" s="34" t="s">
        <v>976</v>
      </c>
      <c r="D36" s="34" t="s">
        <v>327</v>
      </c>
      <c r="E36" s="19" t="s">
        <v>328</v>
      </c>
      <c r="F36" s="19" t="s">
        <v>329</v>
      </c>
      <c r="G36" s="19" t="s">
        <v>225</v>
      </c>
      <c r="H36" s="19" t="s">
        <v>330</v>
      </c>
      <c r="I36" s="19" t="s">
        <v>331</v>
      </c>
      <c r="J36" s="19"/>
      <c r="K36" s="19"/>
      <c r="L36" s="19"/>
      <c r="M36" s="19"/>
      <c r="N36" s="19"/>
      <c r="O36" s="19" t="b">
        <v>1</v>
      </c>
      <c r="P36" s="34">
        <v>10</v>
      </c>
      <c r="Q36" s="34">
        <v>0</v>
      </c>
      <c r="R36" s="34">
        <v>0</v>
      </c>
      <c r="S36" s="34">
        <v>8</v>
      </c>
      <c r="T36" s="34">
        <v>0</v>
      </c>
      <c r="U36" s="19"/>
      <c r="V36" s="19"/>
      <c r="W36" s="19"/>
      <c r="X36" s="19"/>
      <c r="Y36" s="19"/>
      <c r="Z36" s="19"/>
      <c r="AA36" s="19"/>
      <c r="AB36" s="19"/>
      <c r="AC36" s="19"/>
      <c r="AD36" s="19" t="b">
        <f>OR(Glossary!$R32&gt;0,Glossary!$S32&gt;0,Glossary!$T32&gt;0)</f>
        <v>0</v>
      </c>
      <c r="AE36" s="19" t="b">
        <v>0</v>
      </c>
      <c r="AF36" s="19">
        <v>0</v>
      </c>
      <c r="AG36" s="19">
        <v>2E-3</v>
      </c>
      <c r="AH36" s="19" t="s">
        <v>332</v>
      </c>
      <c r="AI36" s="19"/>
      <c r="AJ36" s="19"/>
      <c r="AK36" s="19">
        <v>2E-3</v>
      </c>
      <c r="AL36" s="19" t="b">
        <f t="shared" si="1"/>
        <v>0</v>
      </c>
      <c r="AM36" s="19"/>
      <c r="AN36" s="19" t="s">
        <v>72</v>
      </c>
      <c r="AO36" s="19" t="s">
        <v>333</v>
      </c>
      <c r="AP36" s="19" t="s">
        <v>334</v>
      </c>
      <c r="AQ36" s="19"/>
      <c r="AR36" s="19" t="b">
        <v>1</v>
      </c>
      <c r="AS36" s="19"/>
      <c r="AT36" s="19"/>
      <c r="AU36" s="19"/>
      <c r="AV36" s="19"/>
      <c r="AW36" s="19"/>
    </row>
    <row r="37" spans="1:49" ht="12.75" customHeight="1" x14ac:dyDescent="0.2">
      <c r="A37" s="19" t="s">
        <v>335</v>
      </c>
      <c r="B37" s="19" t="s">
        <v>1063</v>
      </c>
      <c r="C37" s="34" t="s">
        <v>976</v>
      </c>
      <c r="D37" s="38" t="s">
        <v>1062</v>
      </c>
      <c r="E37" s="19" t="s">
        <v>336</v>
      </c>
      <c r="F37" s="19" t="s">
        <v>337</v>
      </c>
      <c r="G37" s="19" t="s">
        <v>225</v>
      </c>
      <c r="H37" s="19" t="s">
        <v>330</v>
      </c>
      <c r="I37" s="19" t="s">
        <v>331</v>
      </c>
      <c r="J37" s="19"/>
      <c r="K37" s="19"/>
      <c r="L37" s="19"/>
      <c r="M37" s="19"/>
      <c r="N37" s="19"/>
      <c r="O37" s="19" t="b">
        <v>1</v>
      </c>
      <c r="P37" s="34">
        <v>10</v>
      </c>
      <c r="Q37" s="34">
        <v>0</v>
      </c>
      <c r="R37" s="34">
        <v>0</v>
      </c>
      <c r="S37" s="34">
        <v>8</v>
      </c>
      <c r="T37" s="34">
        <v>0</v>
      </c>
      <c r="U37" s="19"/>
      <c r="V37" s="19"/>
      <c r="W37" s="19"/>
      <c r="X37" s="19"/>
      <c r="Y37" s="19"/>
      <c r="Z37" s="19"/>
      <c r="AA37" s="19"/>
      <c r="AB37" s="19"/>
      <c r="AC37" s="19"/>
      <c r="AD37" s="19" t="b">
        <f>OR(Glossary!$R33&gt;0,Glossary!$S33&gt;0,Glossary!$T33&gt;0)</f>
        <v>0</v>
      </c>
      <c r="AE37" s="19" t="b">
        <v>0</v>
      </c>
      <c r="AF37" s="19">
        <v>0</v>
      </c>
      <c r="AG37" s="19">
        <v>2E-3</v>
      </c>
      <c r="AH37" s="19" t="s">
        <v>332</v>
      </c>
      <c r="AI37" s="19"/>
      <c r="AJ37" s="19"/>
      <c r="AK37" s="19">
        <v>2E-3</v>
      </c>
      <c r="AL37" s="19" t="b">
        <f t="shared" si="1"/>
        <v>0</v>
      </c>
      <c r="AM37" s="19"/>
      <c r="AN37" s="19" t="s">
        <v>72</v>
      </c>
      <c r="AO37" s="19" t="s">
        <v>338</v>
      </c>
      <c r="AP37" s="19" t="s">
        <v>1064</v>
      </c>
      <c r="AQ37" s="19"/>
      <c r="AR37" s="19" t="b">
        <v>1</v>
      </c>
      <c r="AS37" s="19"/>
      <c r="AT37" s="19"/>
      <c r="AU37" s="19"/>
      <c r="AV37" s="19"/>
      <c r="AW37" s="19"/>
    </row>
    <row r="38" spans="1:49" ht="12.75" customHeight="1" x14ac:dyDescent="0.2">
      <c r="A38" s="19" t="s">
        <v>339</v>
      </c>
      <c r="B38" s="19" t="s">
        <v>340</v>
      </c>
      <c r="C38" s="34" t="s">
        <v>1031</v>
      </c>
      <c r="D38" s="34"/>
      <c r="E38" s="19" t="s">
        <v>236</v>
      </c>
      <c r="F38" s="21" t="s">
        <v>237</v>
      </c>
      <c r="G38" s="19" t="s">
        <v>153</v>
      </c>
      <c r="H38" s="19" t="s">
        <v>244</v>
      </c>
      <c r="I38" s="19" t="s">
        <v>245</v>
      </c>
      <c r="J38" s="19"/>
      <c r="K38" s="19"/>
      <c r="L38" s="19"/>
      <c r="M38" s="19"/>
      <c r="N38" s="19"/>
      <c r="O38" s="19"/>
      <c r="P38" s="34">
        <v>0</v>
      </c>
      <c r="Q38" s="34">
        <v>0</v>
      </c>
      <c r="R38" s="34">
        <v>0</v>
      </c>
      <c r="S38" s="34">
        <v>1</v>
      </c>
      <c r="T38" s="34">
        <v>0</v>
      </c>
      <c r="U38" s="19"/>
      <c r="V38" s="19"/>
      <c r="W38" s="19"/>
      <c r="X38" s="19"/>
      <c r="Y38" s="19"/>
      <c r="Z38" s="19"/>
      <c r="AA38" s="19"/>
      <c r="AB38" s="19"/>
      <c r="AC38" s="19"/>
      <c r="AD38" s="19" t="b">
        <v>1</v>
      </c>
      <c r="AE38" s="19" t="s">
        <v>156</v>
      </c>
      <c r="AF38" s="19"/>
      <c r="AG38" s="19"/>
      <c r="AH38" s="19"/>
      <c r="AI38" s="19">
        <v>250</v>
      </c>
      <c r="AJ38" s="19"/>
      <c r="AK38" s="19"/>
      <c r="AL38" s="19" t="str">
        <f t="shared" si="1"/>
        <v/>
      </c>
      <c r="AM38" s="19"/>
      <c r="AN38" s="19"/>
      <c r="AO38" s="19" t="s">
        <v>341</v>
      </c>
      <c r="AP38" s="19"/>
      <c r="AQ38" s="19"/>
      <c r="AR38" s="19"/>
      <c r="AS38" s="19"/>
      <c r="AT38" s="19"/>
      <c r="AU38" s="19" t="b">
        <v>1</v>
      </c>
      <c r="AV38" s="19"/>
      <c r="AW38" s="19" t="b">
        <v>1</v>
      </c>
    </row>
    <row r="39" spans="1:49" ht="12.75" customHeight="1" x14ac:dyDescent="0.2">
      <c r="A39" s="19" t="s">
        <v>342</v>
      </c>
      <c r="B39" s="19" t="s">
        <v>343</v>
      </c>
      <c r="C39" s="34" t="s">
        <v>526</v>
      </c>
      <c r="D39" s="34"/>
      <c r="E39" s="19"/>
      <c r="F39" s="19"/>
      <c r="G39" s="19" t="s">
        <v>238</v>
      </c>
      <c r="H39" s="19"/>
      <c r="I39" s="19"/>
      <c r="J39" s="19"/>
      <c r="K39" s="19"/>
      <c r="L39" s="19"/>
      <c r="M39" s="19"/>
      <c r="N39" s="19"/>
      <c r="O39" s="19"/>
      <c r="P39" s="34">
        <v>0</v>
      </c>
      <c r="Q39" s="34">
        <v>0</v>
      </c>
      <c r="R39" s="34">
        <v>0</v>
      </c>
      <c r="S39" s="34">
        <v>1</v>
      </c>
      <c r="T39" s="34">
        <v>0</v>
      </c>
      <c r="U39" s="19"/>
      <c r="V39" s="19"/>
      <c r="W39" s="19"/>
      <c r="X39" s="19"/>
      <c r="Y39" s="19"/>
      <c r="Z39" s="19"/>
      <c r="AA39" s="19"/>
      <c r="AB39" s="19"/>
      <c r="AC39" s="19"/>
      <c r="AD39" s="19" t="b">
        <v>1</v>
      </c>
      <c r="AE39" s="19" t="b">
        <v>0</v>
      </c>
      <c r="AF39" s="19">
        <v>0.8</v>
      </c>
      <c r="AG39" s="19">
        <v>0.8</v>
      </c>
      <c r="AH39" s="19" t="s">
        <v>344</v>
      </c>
      <c r="AI39" s="19"/>
      <c r="AJ39" s="19"/>
      <c r="AK39" s="22"/>
      <c r="AL39" s="22" t="str">
        <f t="shared" si="1"/>
        <v/>
      </c>
      <c r="AM39" s="19"/>
      <c r="AN39" s="19"/>
      <c r="AO39" s="19" t="s">
        <v>345</v>
      </c>
      <c r="AP39" s="19"/>
      <c r="AQ39" s="19"/>
      <c r="AR39" s="19"/>
      <c r="AS39" s="19"/>
      <c r="AT39" s="19" t="b">
        <v>1</v>
      </c>
      <c r="AU39" s="19" t="b">
        <v>1</v>
      </c>
      <c r="AV39" s="19"/>
      <c r="AW39" s="19"/>
    </row>
    <row r="40" spans="1:49" ht="12.75" customHeight="1" x14ac:dyDescent="0.2">
      <c r="A40" s="19" t="s">
        <v>346</v>
      </c>
      <c r="B40" s="19" t="s">
        <v>347</v>
      </c>
      <c r="C40" s="34" t="s">
        <v>1032</v>
      </c>
      <c r="D40" s="34"/>
      <c r="E40" s="19" t="s">
        <v>348</v>
      </c>
      <c r="F40" s="21" t="s">
        <v>349</v>
      </c>
      <c r="G40" s="19" t="s">
        <v>238</v>
      </c>
      <c r="H40" s="19"/>
      <c r="I40" s="19"/>
      <c r="J40" s="19"/>
      <c r="K40" s="19"/>
      <c r="L40" s="19" t="b">
        <v>1</v>
      </c>
      <c r="M40" s="19"/>
      <c r="N40" s="19"/>
      <c r="O40" s="19"/>
      <c r="P40" s="34">
        <v>0</v>
      </c>
      <c r="Q40" s="34">
        <v>0</v>
      </c>
      <c r="R40" s="34">
        <v>0</v>
      </c>
      <c r="S40" s="34">
        <v>1</v>
      </c>
      <c r="T40" s="34">
        <v>0</v>
      </c>
      <c r="U40" s="19"/>
      <c r="V40" s="19"/>
      <c r="W40" s="19"/>
      <c r="X40" s="19"/>
      <c r="Y40" s="19"/>
      <c r="Z40" s="19"/>
      <c r="AA40" s="19"/>
      <c r="AB40" s="19"/>
      <c r="AC40" s="19"/>
      <c r="AD40" s="19" t="b">
        <v>1</v>
      </c>
      <c r="AE40" s="19" t="b">
        <v>0</v>
      </c>
      <c r="AF40" s="19">
        <v>0.8</v>
      </c>
      <c r="AG40" s="19">
        <v>1</v>
      </c>
      <c r="AH40" s="19"/>
      <c r="AI40" s="19"/>
      <c r="AJ40" s="19"/>
      <c r="AK40" s="19"/>
      <c r="AL40" s="19" t="str">
        <f t="shared" si="1"/>
        <v/>
      </c>
      <c r="AM40" s="19"/>
      <c r="AN40" s="19"/>
      <c r="AO40" s="19" t="s">
        <v>350</v>
      </c>
      <c r="AP40" s="19"/>
      <c r="AQ40" s="19"/>
      <c r="AR40" s="19"/>
      <c r="AS40" s="19"/>
      <c r="AT40" s="19"/>
      <c r="AU40" s="19" t="b">
        <v>1</v>
      </c>
      <c r="AV40" s="19"/>
      <c r="AW40" s="19" t="b">
        <v>1</v>
      </c>
    </row>
    <row r="41" spans="1:49" ht="12.75" customHeight="1" x14ac:dyDescent="0.2">
      <c r="A41" s="19" t="s">
        <v>351</v>
      </c>
      <c r="B41" s="19" t="s">
        <v>352</v>
      </c>
      <c r="C41" s="34" t="s">
        <v>977</v>
      </c>
      <c r="D41" s="34" t="s">
        <v>353</v>
      </c>
      <c r="E41" s="19" t="s">
        <v>354</v>
      </c>
      <c r="F41" s="19" t="s">
        <v>355</v>
      </c>
      <c r="G41" s="19" t="s">
        <v>83</v>
      </c>
      <c r="H41" s="19" t="s">
        <v>141</v>
      </c>
      <c r="I41" s="19" t="s">
        <v>100</v>
      </c>
      <c r="J41" s="19" t="b">
        <v>1</v>
      </c>
      <c r="K41" s="19"/>
      <c r="L41" s="19"/>
      <c r="M41" s="19"/>
      <c r="N41" s="19"/>
      <c r="O41" s="19"/>
      <c r="P41" s="34">
        <v>6</v>
      </c>
      <c r="Q41" s="34">
        <v>0</v>
      </c>
      <c r="R41" s="34">
        <v>0</v>
      </c>
      <c r="S41" s="34">
        <v>1</v>
      </c>
      <c r="T41" s="34">
        <v>0</v>
      </c>
      <c r="U41" s="19"/>
      <c r="V41" s="19"/>
      <c r="W41" s="19"/>
      <c r="X41" s="19"/>
      <c r="Y41" s="19"/>
      <c r="Z41" s="19"/>
      <c r="AA41" s="19"/>
      <c r="AB41" s="19"/>
      <c r="AC41" s="19"/>
      <c r="AD41" s="19" t="b">
        <f>OR(Glossary!$R34&gt;0,Glossary!$S34&gt;0,Glossary!$T34&gt;0)</f>
        <v>1</v>
      </c>
      <c r="AE41" s="19" t="b">
        <v>0</v>
      </c>
      <c r="AF41" s="19">
        <v>0.1</v>
      </c>
      <c r="AG41" s="19">
        <v>0.1</v>
      </c>
      <c r="AH41" s="19"/>
      <c r="AI41" s="19"/>
      <c r="AJ41" s="19"/>
      <c r="AK41" s="19"/>
      <c r="AL41" s="19" t="str">
        <f t="shared" si="1"/>
        <v/>
      </c>
      <c r="AM41" s="19"/>
      <c r="AN41" s="19"/>
      <c r="AO41" s="19" t="s">
        <v>356</v>
      </c>
      <c r="AP41" s="19"/>
      <c r="AQ41" s="19"/>
      <c r="AR41" s="19" t="b">
        <v>1</v>
      </c>
      <c r="AS41" s="19"/>
      <c r="AT41" s="19" t="b">
        <v>1</v>
      </c>
      <c r="AU41" s="19"/>
      <c r="AV41" s="19" t="b">
        <v>1</v>
      </c>
      <c r="AW41" s="19"/>
    </row>
    <row r="42" spans="1:49" ht="12.75" customHeight="1" x14ac:dyDescent="0.2">
      <c r="A42" s="19" t="s">
        <v>357</v>
      </c>
      <c r="B42" s="19" t="s">
        <v>358</v>
      </c>
      <c r="C42" s="34" t="s">
        <v>978</v>
      </c>
      <c r="D42" s="34" t="s">
        <v>359</v>
      </c>
      <c r="E42" s="19" t="s">
        <v>360</v>
      </c>
      <c r="F42" s="19" t="s">
        <v>361</v>
      </c>
      <c r="G42" s="19" t="s">
        <v>225</v>
      </c>
      <c r="H42" s="19" t="s">
        <v>226</v>
      </c>
      <c r="I42" s="19" t="s">
        <v>258</v>
      </c>
      <c r="J42" s="19"/>
      <c r="K42" s="19"/>
      <c r="L42" s="19"/>
      <c r="M42" s="19"/>
      <c r="N42" s="19"/>
      <c r="O42" s="19"/>
      <c r="P42" s="34">
        <v>2</v>
      </c>
      <c r="Q42" s="34">
        <v>0</v>
      </c>
      <c r="R42" s="34">
        <v>0</v>
      </c>
      <c r="S42" s="34">
        <v>1</v>
      </c>
      <c r="T42" s="34">
        <v>0</v>
      </c>
      <c r="U42" s="19"/>
      <c r="V42" s="19"/>
      <c r="W42" s="19"/>
      <c r="X42" s="19"/>
      <c r="Y42" s="19"/>
      <c r="Z42" s="19"/>
      <c r="AA42" s="19"/>
      <c r="AB42" s="19"/>
      <c r="AC42" s="19"/>
      <c r="AD42" s="19" t="b">
        <f>OR(Glossary!$R35&gt;0,Glossary!$S35&gt;0,Glossary!$T35&gt;0)</f>
        <v>1</v>
      </c>
      <c r="AE42" s="19" t="b">
        <v>1</v>
      </c>
      <c r="AF42" s="19"/>
      <c r="AG42" s="19"/>
      <c r="AH42" s="19"/>
      <c r="AI42" s="19"/>
      <c r="AJ42" s="19"/>
      <c r="AK42" s="19"/>
      <c r="AL42" s="19" t="str">
        <f t="shared" si="1"/>
        <v/>
      </c>
      <c r="AM42" s="19"/>
      <c r="AN42" s="19"/>
      <c r="AO42" s="19" t="s">
        <v>362</v>
      </c>
      <c r="AP42" s="19"/>
      <c r="AQ42" s="19"/>
      <c r="AR42" s="19" t="b">
        <v>1</v>
      </c>
      <c r="AS42" s="19"/>
      <c r="AT42" s="19"/>
      <c r="AU42" s="19"/>
      <c r="AV42" s="19"/>
      <c r="AW42" s="19"/>
    </row>
    <row r="43" spans="1:49" ht="12.75" customHeight="1" x14ac:dyDescent="0.2">
      <c r="A43" s="19" t="s">
        <v>363</v>
      </c>
      <c r="B43" s="19" t="s">
        <v>364</v>
      </c>
      <c r="C43" s="34" t="s">
        <v>979</v>
      </c>
      <c r="D43" s="34" t="s">
        <v>365</v>
      </c>
      <c r="E43" s="19" t="s">
        <v>366</v>
      </c>
      <c r="F43" s="19" t="s">
        <v>367</v>
      </c>
      <c r="G43" s="19" t="s">
        <v>225</v>
      </c>
      <c r="H43" s="19" t="s">
        <v>330</v>
      </c>
      <c r="I43" s="19" t="s">
        <v>258</v>
      </c>
      <c r="J43" s="19"/>
      <c r="K43" s="19"/>
      <c r="L43" s="19"/>
      <c r="M43" s="19"/>
      <c r="N43" s="19"/>
      <c r="O43" s="19"/>
      <c r="P43" s="34">
        <v>2</v>
      </c>
      <c r="Q43" s="34">
        <v>0</v>
      </c>
      <c r="R43" s="34">
        <v>0</v>
      </c>
      <c r="S43" s="34">
        <v>1</v>
      </c>
      <c r="T43" s="34">
        <v>0</v>
      </c>
      <c r="U43" s="19"/>
      <c r="V43" s="19"/>
      <c r="W43" s="19"/>
      <c r="X43" s="19"/>
      <c r="Y43" s="19"/>
      <c r="Z43" s="19"/>
      <c r="AA43" s="19"/>
      <c r="AB43" s="19"/>
      <c r="AC43" s="19"/>
      <c r="AD43" s="19" t="b">
        <f>OR(Glossary!$R36&gt;0,Glossary!$S36&gt;0,Glossary!$T36&gt;0)</f>
        <v>1</v>
      </c>
      <c r="AE43" s="19" t="b">
        <v>0</v>
      </c>
      <c r="AF43" s="19">
        <v>0</v>
      </c>
      <c r="AG43" s="19">
        <v>2E-3</v>
      </c>
      <c r="AH43" s="19"/>
      <c r="AI43" s="19"/>
      <c r="AJ43" s="19"/>
      <c r="AK43" s="19"/>
      <c r="AL43" s="19" t="str">
        <f t="shared" si="1"/>
        <v/>
      </c>
      <c r="AM43" s="19"/>
      <c r="AN43" s="19"/>
      <c r="AO43" s="19" t="s">
        <v>368</v>
      </c>
      <c r="AP43" s="19"/>
      <c r="AQ43" s="19"/>
      <c r="AR43" s="19" t="b">
        <v>1</v>
      </c>
      <c r="AS43" s="19"/>
      <c r="AT43" s="19" t="b">
        <v>1</v>
      </c>
      <c r="AU43" s="19"/>
      <c r="AV43" s="19" t="b">
        <v>1</v>
      </c>
      <c r="AW43" s="19"/>
    </row>
    <row r="44" spans="1:49" ht="12.75" customHeight="1" x14ac:dyDescent="0.2">
      <c r="A44" s="19" t="s">
        <v>369</v>
      </c>
      <c r="B44" s="19" t="s">
        <v>370</v>
      </c>
      <c r="C44" s="34" t="s">
        <v>980</v>
      </c>
      <c r="D44" s="34" t="s">
        <v>371</v>
      </c>
      <c r="E44" s="19" t="s">
        <v>372</v>
      </c>
      <c r="F44" s="19" t="s">
        <v>373</v>
      </c>
      <c r="G44" s="19" t="s">
        <v>225</v>
      </c>
      <c r="H44" s="19" t="s">
        <v>226</v>
      </c>
      <c r="I44" s="19" t="s">
        <v>258</v>
      </c>
      <c r="J44" s="19"/>
      <c r="K44" s="19"/>
      <c r="L44" s="19" t="b">
        <v>1</v>
      </c>
      <c r="M44" s="19"/>
      <c r="N44" s="19"/>
      <c r="O44" s="19"/>
      <c r="P44" s="34">
        <v>1</v>
      </c>
      <c r="Q44" s="34">
        <v>0</v>
      </c>
      <c r="R44" s="34">
        <v>0</v>
      </c>
      <c r="S44" s="34">
        <v>3</v>
      </c>
      <c r="T44" s="34">
        <v>0</v>
      </c>
      <c r="U44" s="19"/>
      <c r="V44" s="19"/>
      <c r="W44" s="19"/>
      <c r="X44" s="19"/>
      <c r="Y44" s="19"/>
      <c r="Z44" s="19"/>
      <c r="AA44" s="19"/>
      <c r="AB44" s="19"/>
      <c r="AC44" s="19"/>
      <c r="AD44" s="19" t="b">
        <f>OR(Glossary!$R37&gt;0,Glossary!$S37&gt;0,Glossary!$T37&gt;0)</f>
        <v>1</v>
      </c>
      <c r="AE44" s="19" t="b">
        <v>1</v>
      </c>
      <c r="AF44" s="19">
        <v>7.0000000000000007E-2</v>
      </c>
      <c r="AG44" s="19"/>
      <c r="AH44" s="19" t="s">
        <v>264</v>
      </c>
      <c r="AI44" s="19"/>
      <c r="AJ44" s="19"/>
      <c r="AK44" s="19"/>
      <c r="AL44" s="19" t="str">
        <f t="shared" si="1"/>
        <v/>
      </c>
      <c r="AM44" s="19"/>
      <c r="AN44" s="19"/>
      <c r="AO44" s="19" t="s">
        <v>374</v>
      </c>
      <c r="AP44" s="19"/>
      <c r="AQ44" s="19"/>
      <c r="AR44" s="19" t="b">
        <v>1</v>
      </c>
      <c r="AS44" s="19"/>
      <c r="AT44" s="19"/>
      <c r="AU44" s="19"/>
      <c r="AV44" s="19" t="b">
        <v>1</v>
      </c>
      <c r="AW44" s="19"/>
    </row>
    <row r="45" spans="1:49" ht="12.75" customHeight="1" x14ac:dyDescent="0.2">
      <c r="A45" s="19" t="s">
        <v>375</v>
      </c>
      <c r="B45" s="19" t="s">
        <v>376</v>
      </c>
      <c r="C45" s="34" t="s">
        <v>981</v>
      </c>
      <c r="D45" s="34" t="s">
        <v>377</v>
      </c>
      <c r="E45" s="19" t="s">
        <v>378</v>
      </c>
      <c r="F45" s="19" t="s">
        <v>379</v>
      </c>
      <c r="G45" s="19" t="s">
        <v>225</v>
      </c>
      <c r="H45" s="19" t="s">
        <v>226</v>
      </c>
      <c r="I45" s="19" t="s">
        <v>258</v>
      </c>
      <c r="J45" s="19"/>
      <c r="K45" s="19"/>
      <c r="L45" s="19"/>
      <c r="M45" s="19"/>
      <c r="N45" s="19"/>
      <c r="O45" s="19"/>
      <c r="P45" s="34">
        <v>1</v>
      </c>
      <c r="Q45" s="34">
        <v>0</v>
      </c>
      <c r="R45" s="34">
        <v>0</v>
      </c>
      <c r="S45" s="34">
        <v>1</v>
      </c>
      <c r="T45" s="34">
        <v>0</v>
      </c>
      <c r="U45" s="19"/>
      <c r="V45" s="19"/>
      <c r="W45" s="19"/>
      <c r="X45" s="19"/>
      <c r="Y45" s="19"/>
      <c r="Z45" s="19"/>
      <c r="AA45" s="19"/>
      <c r="AB45" s="19"/>
      <c r="AC45" s="19"/>
      <c r="AD45" s="19" t="b">
        <f>OR(Glossary!$R38&gt;0,Glossary!$S38&gt;0,Glossary!$T38&gt;0)</f>
        <v>1</v>
      </c>
      <c r="AE45" s="19" t="b">
        <v>1</v>
      </c>
      <c r="AF45" s="19"/>
      <c r="AG45" s="19"/>
      <c r="AH45" s="19"/>
      <c r="AI45" s="19"/>
      <c r="AJ45" s="19"/>
      <c r="AK45" s="19"/>
      <c r="AL45" s="19" t="str">
        <f t="shared" si="1"/>
        <v/>
      </c>
      <c r="AM45" s="19"/>
      <c r="AN45" s="19"/>
      <c r="AO45" s="19" t="s">
        <v>380</v>
      </c>
      <c r="AP45" s="19"/>
      <c r="AQ45" s="19"/>
      <c r="AR45" s="19" t="b">
        <v>1</v>
      </c>
      <c r="AS45" s="19"/>
      <c r="AT45" s="19"/>
      <c r="AU45" s="19"/>
      <c r="AV45" s="19"/>
      <c r="AW45" s="19"/>
    </row>
    <row r="46" spans="1:49" ht="12.75" customHeight="1" x14ac:dyDescent="0.2">
      <c r="A46" s="19" t="s">
        <v>381</v>
      </c>
      <c r="B46" s="19" t="s">
        <v>382</v>
      </c>
      <c r="C46" s="34" t="s">
        <v>982</v>
      </c>
      <c r="D46" s="34" t="s">
        <v>383</v>
      </c>
      <c r="E46" s="19" t="s">
        <v>384</v>
      </c>
      <c r="F46" s="19" t="s">
        <v>385</v>
      </c>
      <c r="G46" s="19" t="s">
        <v>83</v>
      </c>
      <c r="H46" s="19" t="s">
        <v>141</v>
      </c>
      <c r="I46" s="19" t="s">
        <v>289</v>
      </c>
      <c r="J46" s="19" t="b">
        <v>1</v>
      </c>
      <c r="K46" s="19"/>
      <c r="L46" s="19"/>
      <c r="M46" s="19"/>
      <c r="N46" s="19"/>
      <c r="O46" s="19"/>
      <c r="P46" s="34">
        <v>7</v>
      </c>
      <c r="Q46" s="34">
        <v>0</v>
      </c>
      <c r="R46" s="34">
        <v>0</v>
      </c>
      <c r="S46" s="34">
        <v>1</v>
      </c>
      <c r="T46" s="34">
        <v>0</v>
      </c>
      <c r="U46" s="19"/>
      <c r="V46" s="19"/>
      <c r="W46" s="19"/>
      <c r="X46" s="19"/>
      <c r="Y46" s="19"/>
      <c r="Z46" s="19"/>
      <c r="AA46" s="19"/>
      <c r="AB46" s="19"/>
      <c r="AC46" s="19"/>
      <c r="AD46" s="19" t="b">
        <f>OR(Glossary!$R39&gt;0,Glossary!$S39&gt;0,Glossary!$T39&gt;0)</f>
        <v>1</v>
      </c>
      <c r="AE46" s="19" t="b">
        <v>0</v>
      </c>
      <c r="AF46" s="19"/>
      <c r="AG46" s="19"/>
      <c r="AH46" s="19"/>
      <c r="AI46" s="19"/>
      <c r="AJ46" s="19"/>
      <c r="AK46" s="19"/>
      <c r="AL46" s="19" t="str">
        <f t="shared" si="1"/>
        <v/>
      </c>
      <c r="AM46" s="19"/>
      <c r="AN46" s="19"/>
      <c r="AO46" s="19" t="s">
        <v>386</v>
      </c>
      <c r="AP46" s="19"/>
      <c r="AQ46" s="19"/>
      <c r="AR46" s="19" t="b">
        <v>1</v>
      </c>
      <c r="AS46" s="19"/>
      <c r="AT46" s="19"/>
      <c r="AU46" s="19"/>
      <c r="AV46" s="19"/>
      <c r="AW46" s="19"/>
    </row>
    <row r="47" spans="1:49" ht="12.75" customHeight="1" x14ac:dyDescent="0.2">
      <c r="A47" s="19" t="s">
        <v>387</v>
      </c>
      <c r="B47" s="19" t="s">
        <v>388</v>
      </c>
      <c r="C47" s="34" t="s">
        <v>982</v>
      </c>
      <c r="D47" s="34" t="s">
        <v>389</v>
      </c>
      <c r="E47" s="19" t="s">
        <v>390</v>
      </c>
      <c r="F47" s="19" t="s">
        <v>391</v>
      </c>
      <c r="G47" s="19" t="s">
        <v>83</v>
      </c>
      <c r="H47" s="19" t="s">
        <v>141</v>
      </c>
      <c r="I47" s="19" t="s">
        <v>289</v>
      </c>
      <c r="J47" s="19" t="b">
        <v>1</v>
      </c>
      <c r="K47" s="19"/>
      <c r="L47" s="19"/>
      <c r="M47" s="19"/>
      <c r="N47" s="19"/>
      <c r="O47" s="19"/>
      <c r="P47" s="34">
        <v>7</v>
      </c>
      <c r="Q47" s="34">
        <v>0</v>
      </c>
      <c r="R47" s="34">
        <v>0</v>
      </c>
      <c r="S47" s="34">
        <v>1</v>
      </c>
      <c r="T47" s="34">
        <v>0</v>
      </c>
      <c r="U47" s="19"/>
      <c r="V47" s="19"/>
      <c r="W47" s="19"/>
      <c r="X47" s="19"/>
      <c r="Y47" s="19"/>
      <c r="Z47" s="19"/>
      <c r="AA47" s="19"/>
      <c r="AB47" s="19"/>
      <c r="AC47" s="19"/>
      <c r="AD47" s="19" t="b">
        <f>OR(Glossary!$R40&gt;0,Glossary!$S40&gt;0,Glossary!$T40&gt;0)</f>
        <v>1</v>
      </c>
      <c r="AE47" s="19" t="b">
        <v>0</v>
      </c>
      <c r="AF47" s="19"/>
      <c r="AG47" s="19"/>
      <c r="AH47" s="19"/>
      <c r="AI47" s="19"/>
      <c r="AJ47" s="19"/>
      <c r="AK47" s="19"/>
      <c r="AL47" s="19" t="str">
        <f t="shared" si="1"/>
        <v/>
      </c>
      <c r="AM47" s="19"/>
      <c r="AN47" s="19"/>
      <c r="AO47" s="19" t="s">
        <v>392</v>
      </c>
      <c r="AP47" s="19"/>
      <c r="AQ47" s="19"/>
      <c r="AR47" s="19" t="b">
        <v>1</v>
      </c>
      <c r="AS47" s="19"/>
      <c r="AT47" s="19"/>
      <c r="AU47" s="19"/>
      <c r="AV47" s="19"/>
      <c r="AW47" s="19"/>
    </row>
    <row r="48" spans="1:49" ht="12.75" customHeight="1" x14ac:dyDescent="0.2">
      <c r="A48" s="19" t="s">
        <v>393</v>
      </c>
      <c r="B48" s="19" t="s">
        <v>394</v>
      </c>
      <c r="C48" s="34" t="s">
        <v>1033</v>
      </c>
      <c r="D48" s="34"/>
      <c r="E48" s="19" t="s">
        <v>395</v>
      </c>
      <c r="F48" s="21" t="s">
        <v>396</v>
      </c>
      <c r="G48" s="19" t="s">
        <v>153</v>
      </c>
      <c r="H48" s="19" t="s">
        <v>173</v>
      </c>
      <c r="I48" s="19" t="s">
        <v>397</v>
      </c>
      <c r="J48" s="19"/>
      <c r="K48" s="19"/>
      <c r="L48" s="19"/>
      <c r="M48" s="19" t="b">
        <v>1</v>
      </c>
      <c r="N48" s="19"/>
      <c r="O48" s="19"/>
      <c r="P48" s="34">
        <v>0</v>
      </c>
      <c r="Q48" s="34">
        <v>0</v>
      </c>
      <c r="R48" s="34">
        <v>0</v>
      </c>
      <c r="S48" s="34">
        <v>0</v>
      </c>
      <c r="T48" s="34">
        <v>0</v>
      </c>
      <c r="U48" s="19"/>
      <c r="V48" s="19"/>
      <c r="W48" s="19"/>
      <c r="X48" s="19"/>
      <c r="Y48" s="19"/>
      <c r="Z48" s="19"/>
      <c r="AA48" s="19"/>
      <c r="AB48" s="19"/>
      <c r="AC48" s="19"/>
      <c r="AD48" s="19" t="b">
        <v>0</v>
      </c>
      <c r="AE48" s="19" t="s">
        <v>156</v>
      </c>
      <c r="AF48" s="19">
        <v>0.1</v>
      </c>
      <c r="AG48" s="19">
        <v>0.1</v>
      </c>
      <c r="AH48" s="19"/>
      <c r="AI48" s="19"/>
      <c r="AJ48" s="19"/>
      <c r="AK48" s="22"/>
      <c r="AL48" s="22" t="str">
        <f t="shared" si="1"/>
        <v/>
      </c>
      <c r="AM48" s="19"/>
      <c r="AN48" s="19"/>
      <c r="AO48" s="19" t="s">
        <v>398</v>
      </c>
      <c r="AP48" s="19"/>
      <c r="AQ48" s="19" t="s">
        <v>74</v>
      </c>
      <c r="AR48" s="19"/>
      <c r="AS48" s="19"/>
      <c r="AT48" s="19" t="b">
        <v>1</v>
      </c>
      <c r="AU48" s="19"/>
      <c r="AV48" s="19" t="b">
        <v>1</v>
      </c>
      <c r="AW48" s="19"/>
    </row>
    <row r="49" spans="1:49" ht="12.75" customHeight="1" x14ac:dyDescent="0.2">
      <c r="A49" s="19" t="s">
        <v>399</v>
      </c>
      <c r="B49" s="19" t="s">
        <v>400</v>
      </c>
      <c r="C49" s="34" t="s">
        <v>960</v>
      </c>
      <c r="D49" s="34" t="s">
        <v>401</v>
      </c>
      <c r="E49" s="19" t="s">
        <v>402</v>
      </c>
      <c r="F49" s="19" t="s">
        <v>403</v>
      </c>
      <c r="G49" s="19" t="s">
        <v>83</v>
      </c>
      <c r="H49" s="19" t="s">
        <v>87</v>
      </c>
      <c r="I49" s="19"/>
      <c r="J49" s="19" t="b">
        <v>1</v>
      </c>
      <c r="K49" s="19"/>
      <c r="L49" s="19"/>
      <c r="M49" s="19"/>
      <c r="N49" s="19" t="b">
        <v>1</v>
      </c>
      <c r="O49" s="19"/>
      <c r="P49" s="34">
        <v>18</v>
      </c>
      <c r="Q49" s="34">
        <v>0</v>
      </c>
      <c r="R49" s="34">
        <v>0</v>
      </c>
      <c r="S49" s="34">
        <v>0</v>
      </c>
      <c r="T49" s="34">
        <v>0</v>
      </c>
      <c r="U49" s="19"/>
      <c r="V49" s="19"/>
      <c r="W49" s="19"/>
      <c r="X49" s="19"/>
      <c r="Y49" s="19"/>
      <c r="Z49" s="19"/>
      <c r="AA49" s="19"/>
      <c r="AB49" s="19"/>
      <c r="AC49" s="19"/>
      <c r="AD49" s="19" t="b">
        <f>OR(Glossary!$R41&gt;0,Glossary!$S41&gt;0,Glossary!$T41&gt;0)</f>
        <v>1</v>
      </c>
      <c r="AE49" s="19" t="b">
        <v>0</v>
      </c>
      <c r="AF49" s="19"/>
      <c r="AG49" s="19"/>
      <c r="AH49" s="19"/>
      <c r="AI49" s="19"/>
      <c r="AJ49" s="19"/>
      <c r="AK49" s="19"/>
      <c r="AL49" s="19" t="str">
        <f t="shared" si="1"/>
        <v/>
      </c>
      <c r="AM49" s="19"/>
      <c r="AN49" s="19"/>
      <c r="AO49" s="19" t="s">
        <v>404</v>
      </c>
      <c r="AP49" s="19"/>
      <c r="AQ49" s="19" t="s">
        <v>72</v>
      </c>
      <c r="AR49" s="19" t="b">
        <v>1</v>
      </c>
      <c r="AS49" s="19"/>
      <c r="AT49" s="19"/>
      <c r="AU49" s="19" t="b">
        <v>1</v>
      </c>
      <c r="AV49" s="19" t="b">
        <v>1</v>
      </c>
      <c r="AW49" s="19"/>
    </row>
    <row r="50" spans="1:49" ht="12.75" customHeight="1" x14ac:dyDescent="0.2">
      <c r="A50" s="19" t="s">
        <v>405</v>
      </c>
      <c r="B50" s="19" t="s">
        <v>406</v>
      </c>
      <c r="C50" s="34" t="s">
        <v>526</v>
      </c>
      <c r="D50" s="34"/>
      <c r="E50" s="19"/>
      <c r="F50" s="19"/>
      <c r="G50" s="19" t="s">
        <v>407</v>
      </c>
      <c r="H50" s="19"/>
      <c r="I50" s="19"/>
      <c r="J50" s="19"/>
      <c r="K50" s="19"/>
      <c r="L50" s="19"/>
      <c r="M50" s="19"/>
      <c r="N50" s="19"/>
      <c r="O50" s="19"/>
      <c r="P50" s="34" t="s">
        <v>526</v>
      </c>
      <c r="Q50" s="34" t="s">
        <v>526</v>
      </c>
      <c r="R50" s="34" t="s">
        <v>526</v>
      </c>
      <c r="S50" s="34" t="s">
        <v>526</v>
      </c>
      <c r="T50" s="34" t="s">
        <v>526</v>
      </c>
      <c r="U50" s="19"/>
      <c r="V50" s="19"/>
      <c r="W50" s="19"/>
      <c r="X50" s="19"/>
      <c r="Y50" s="19"/>
      <c r="Z50" s="19"/>
      <c r="AA50" s="19"/>
      <c r="AB50" s="19"/>
      <c r="AC50" s="19"/>
      <c r="AD50" s="19" t="s">
        <v>156</v>
      </c>
      <c r="AE50" s="19" t="s">
        <v>156</v>
      </c>
      <c r="AF50" s="19"/>
      <c r="AG50" s="19"/>
      <c r="AH50" s="19"/>
      <c r="AI50" s="19"/>
      <c r="AJ50" s="19"/>
      <c r="AK50" s="19"/>
      <c r="AL50" s="19" t="str">
        <f t="shared" si="1"/>
        <v/>
      </c>
      <c r="AM50" s="19"/>
      <c r="AN50" s="19"/>
      <c r="AO50" s="19" t="s">
        <v>408</v>
      </c>
      <c r="AP50" s="19"/>
      <c r="AQ50" s="19"/>
      <c r="AR50" s="19"/>
      <c r="AS50" s="19"/>
      <c r="AT50" s="19"/>
      <c r="AU50" s="19" t="b">
        <v>1</v>
      </c>
      <c r="AV50" s="19"/>
      <c r="AW50" s="19"/>
    </row>
    <row r="51" spans="1:49" ht="12.75" customHeight="1" x14ac:dyDescent="0.2">
      <c r="A51" s="19" t="s">
        <v>409</v>
      </c>
      <c r="B51" s="19" t="s">
        <v>410</v>
      </c>
      <c r="C51" s="34" t="s">
        <v>983</v>
      </c>
      <c r="D51" s="34"/>
      <c r="E51" s="19" t="s">
        <v>411</v>
      </c>
      <c r="F51" s="19" t="s">
        <v>412</v>
      </c>
      <c r="G51" s="19" t="s">
        <v>153</v>
      </c>
      <c r="H51" s="19" t="s">
        <v>173</v>
      </c>
      <c r="I51" s="19" t="s">
        <v>413</v>
      </c>
      <c r="J51" s="19"/>
      <c r="K51" s="19"/>
      <c r="L51" s="19"/>
      <c r="M51" s="19" t="b">
        <v>1</v>
      </c>
      <c r="N51" s="19"/>
      <c r="O51" s="19"/>
      <c r="P51" s="34">
        <v>0</v>
      </c>
      <c r="Q51" s="34">
        <v>0</v>
      </c>
      <c r="R51" s="34">
        <v>0</v>
      </c>
      <c r="S51" s="34">
        <v>0</v>
      </c>
      <c r="T51" s="34">
        <v>0</v>
      </c>
      <c r="U51" s="19"/>
      <c r="V51" s="19"/>
      <c r="W51" s="19"/>
      <c r="X51" s="19"/>
      <c r="Y51" s="19"/>
      <c r="Z51" s="19"/>
      <c r="AA51" s="19"/>
      <c r="AB51" s="19"/>
      <c r="AC51" s="19"/>
      <c r="AD51" s="19" t="b">
        <f>OR(Glossary!$R42&gt;0,Glossary!$S42&gt;0,Glossary!$T42&gt;0)</f>
        <v>1</v>
      </c>
      <c r="AE51" s="19" t="s">
        <v>156</v>
      </c>
      <c r="AF51" s="19">
        <v>1.3</v>
      </c>
      <c r="AG51" s="19"/>
      <c r="AH51" s="19" t="s">
        <v>414</v>
      </c>
      <c r="AI51" s="19">
        <v>1</v>
      </c>
      <c r="AJ51" s="19"/>
      <c r="AK51" s="19" t="s">
        <v>415</v>
      </c>
      <c r="AL51" s="19" t="b">
        <f t="shared" si="1"/>
        <v>0</v>
      </c>
      <c r="AM51" s="19"/>
      <c r="AN51" s="19"/>
      <c r="AO51" s="19" t="s">
        <v>416</v>
      </c>
      <c r="AP51" s="19"/>
      <c r="AQ51" s="19" t="s">
        <v>73</v>
      </c>
      <c r="AR51" s="19" t="b">
        <v>1</v>
      </c>
      <c r="AS51" s="19"/>
      <c r="AT51" s="19" t="b">
        <v>1</v>
      </c>
      <c r="AU51" s="19" t="b">
        <v>1</v>
      </c>
      <c r="AV51" s="19" t="b">
        <v>1</v>
      </c>
      <c r="AW51" s="19"/>
    </row>
    <row r="52" spans="1:49" ht="12.75" customHeight="1" x14ac:dyDescent="0.2">
      <c r="A52" s="19" t="s">
        <v>417</v>
      </c>
      <c r="B52" s="19" t="s">
        <v>418</v>
      </c>
      <c r="C52" s="34" t="s">
        <v>984</v>
      </c>
      <c r="D52" s="34" t="s">
        <v>419</v>
      </c>
      <c r="E52" s="19" t="s">
        <v>420</v>
      </c>
      <c r="F52" s="19" t="s">
        <v>421</v>
      </c>
      <c r="G52" s="19" t="s">
        <v>225</v>
      </c>
      <c r="H52" s="19" t="s">
        <v>226</v>
      </c>
      <c r="I52" s="19" t="s">
        <v>258</v>
      </c>
      <c r="J52" s="19"/>
      <c r="K52" s="19"/>
      <c r="L52" s="19"/>
      <c r="M52" s="19"/>
      <c r="N52" s="19"/>
      <c r="O52" s="19" t="b">
        <v>1</v>
      </c>
      <c r="P52" s="34">
        <v>3</v>
      </c>
      <c r="Q52" s="34">
        <v>0</v>
      </c>
      <c r="R52" s="34">
        <v>0</v>
      </c>
      <c r="S52" s="34">
        <v>1</v>
      </c>
      <c r="T52" s="34">
        <v>2</v>
      </c>
      <c r="U52" s="19"/>
      <c r="V52" s="19"/>
      <c r="W52" s="19"/>
      <c r="X52" s="19"/>
      <c r="Y52" s="19"/>
      <c r="Z52" s="19"/>
      <c r="AA52" s="19"/>
      <c r="AB52" s="19"/>
      <c r="AC52" s="19"/>
      <c r="AD52" s="19" t="b">
        <f>OR(Glossary!$R43&gt;0,Glossary!$S43&gt;0,Glossary!$T43&gt;0)</f>
        <v>1</v>
      </c>
      <c r="AE52" s="19" t="b">
        <v>1</v>
      </c>
      <c r="AF52" s="19">
        <v>0</v>
      </c>
      <c r="AG52" s="19">
        <v>2.0000000000000001E-4</v>
      </c>
      <c r="AH52" s="19"/>
      <c r="AI52" s="19"/>
      <c r="AJ52" s="19"/>
      <c r="AK52" s="19"/>
      <c r="AL52" s="19" t="str">
        <f t="shared" si="1"/>
        <v/>
      </c>
      <c r="AM52" s="19"/>
      <c r="AN52" s="19"/>
      <c r="AO52" s="19" t="s">
        <v>422</v>
      </c>
      <c r="AP52" s="19"/>
      <c r="AQ52" s="19"/>
      <c r="AR52" s="19" t="b">
        <v>1</v>
      </c>
      <c r="AS52" s="19"/>
      <c r="AT52" s="19"/>
      <c r="AU52" s="19"/>
      <c r="AV52" s="19"/>
      <c r="AW52" s="19"/>
    </row>
    <row r="53" spans="1:49" ht="12.75" customHeight="1" x14ac:dyDescent="0.2">
      <c r="A53" s="19" t="s">
        <v>423</v>
      </c>
      <c r="B53" s="19" t="s">
        <v>424</v>
      </c>
      <c r="C53" s="34" t="s">
        <v>1034</v>
      </c>
      <c r="D53" s="34"/>
      <c r="E53" s="19"/>
      <c r="F53" s="19"/>
      <c r="G53" s="19" t="s">
        <v>225</v>
      </c>
      <c r="H53" s="19" t="s">
        <v>226</v>
      </c>
      <c r="I53" s="19" t="s">
        <v>258</v>
      </c>
      <c r="J53" s="19"/>
      <c r="K53" s="19"/>
      <c r="L53" s="19" t="b">
        <v>1</v>
      </c>
      <c r="M53" s="19"/>
      <c r="N53" s="19"/>
      <c r="O53" s="19"/>
      <c r="P53" s="34">
        <v>2</v>
      </c>
      <c r="Q53" s="34">
        <v>0</v>
      </c>
      <c r="R53" s="34">
        <v>0</v>
      </c>
      <c r="S53" s="34">
        <v>0</v>
      </c>
      <c r="T53" s="34">
        <v>2</v>
      </c>
      <c r="U53" s="19"/>
      <c r="V53" s="19"/>
      <c r="W53" s="19"/>
      <c r="X53" s="19"/>
      <c r="Y53" s="19"/>
      <c r="Z53" s="19"/>
      <c r="AA53" s="19"/>
      <c r="AB53" s="19"/>
      <c r="AC53" s="19"/>
      <c r="AD53" s="19" t="b">
        <v>1</v>
      </c>
      <c r="AE53" s="19" t="b">
        <v>0</v>
      </c>
      <c r="AF53" s="19"/>
      <c r="AG53" s="19"/>
      <c r="AH53" s="19"/>
      <c r="AI53" s="19"/>
      <c r="AJ53" s="19"/>
      <c r="AK53" s="19"/>
      <c r="AL53" s="19" t="str">
        <f t="shared" si="1"/>
        <v/>
      </c>
      <c r="AM53" s="19"/>
      <c r="AN53" s="19"/>
      <c r="AO53" s="19" t="s">
        <v>425</v>
      </c>
      <c r="AP53" s="19"/>
      <c r="AQ53" s="19"/>
      <c r="AR53" s="19"/>
      <c r="AS53" s="19"/>
      <c r="AT53" s="19"/>
      <c r="AU53" s="19"/>
      <c r="AV53" s="19" t="b">
        <v>1</v>
      </c>
      <c r="AW53" s="19"/>
    </row>
    <row r="54" spans="1:49" ht="12.75" customHeight="1" x14ac:dyDescent="0.2">
      <c r="A54" s="19" t="s">
        <v>426</v>
      </c>
      <c r="B54" s="19" t="s">
        <v>427</v>
      </c>
      <c r="C54" s="34" t="s">
        <v>985</v>
      </c>
      <c r="D54" s="34" t="s">
        <v>428</v>
      </c>
      <c r="E54" s="19" t="s">
        <v>429</v>
      </c>
      <c r="F54" s="19" t="s">
        <v>430</v>
      </c>
      <c r="G54" s="19" t="s">
        <v>225</v>
      </c>
      <c r="H54" s="19" t="s">
        <v>226</v>
      </c>
      <c r="I54" s="19" t="s">
        <v>258</v>
      </c>
      <c r="J54" s="19"/>
      <c r="K54" s="19"/>
      <c r="L54" s="19" t="b">
        <v>1</v>
      </c>
      <c r="M54" s="19"/>
      <c r="N54" s="19"/>
      <c r="O54" s="19"/>
      <c r="P54" s="34">
        <v>1</v>
      </c>
      <c r="Q54" s="34">
        <v>0</v>
      </c>
      <c r="R54" s="34">
        <v>0</v>
      </c>
      <c r="S54" s="34">
        <v>1</v>
      </c>
      <c r="T54" s="34">
        <v>2</v>
      </c>
      <c r="U54" s="19"/>
      <c r="V54" s="19"/>
      <c r="W54" s="19"/>
      <c r="X54" s="19"/>
      <c r="Y54" s="19"/>
      <c r="Z54" s="19"/>
      <c r="AA54" s="19"/>
      <c r="AB54" s="19"/>
      <c r="AC54" s="19"/>
      <c r="AD54" s="19" t="b">
        <f>OR(Glossary!$R44&gt;0,Glossary!$S44&gt;0,Glossary!$T44&gt;0)</f>
        <v>1</v>
      </c>
      <c r="AE54" s="19" t="b">
        <v>1</v>
      </c>
      <c r="AF54" s="19">
        <v>0.06</v>
      </c>
      <c r="AG54" s="19"/>
      <c r="AH54" s="19" t="s">
        <v>264</v>
      </c>
      <c r="AI54" s="19"/>
      <c r="AJ54" s="19"/>
      <c r="AK54" s="19"/>
      <c r="AL54" s="19" t="str">
        <f t="shared" si="1"/>
        <v/>
      </c>
      <c r="AM54" s="19"/>
      <c r="AN54" s="19"/>
      <c r="AO54" s="19" t="s">
        <v>431</v>
      </c>
      <c r="AP54" s="19"/>
      <c r="AQ54" s="19"/>
      <c r="AR54" s="19" t="b">
        <v>1</v>
      </c>
      <c r="AS54" s="19"/>
      <c r="AT54" s="19"/>
      <c r="AU54" s="19"/>
      <c r="AV54" s="19" t="b">
        <v>1</v>
      </c>
      <c r="AW54" s="19"/>
    </row>
    <row r="55" spans="1:49" ht="12.75" customHeight="1" x14ac:dyDescent="0.2">
      <c r="A55" s="19" t="s">
        <v>432</v>
      </c>
      <c r="B55" s="19" t="s">
        <v>433</v>
      </c>
      <c r="C55" s="34" t="s">
        <v>986</v>
      </c>
      <c r="D55" s="34" t="s">
        <v>434</v>
      </c>
      <c r="E55" s="19" t="s">
        <v>435</v>
      </c>
      <c r="F55" s="20" t="s">
        <v>436</v>
      </c>
      <c r="G55" s="19" t="s">
        <v>225</v>
      </c>
      <c r="H55" s="19" t="s">
        <v>226</v>
      </c>
      <c r="I55" s="19" t="s">
        <v>258</v>
      </c>
      <c r="J55" s="19"/>
      <c r="K55" s="19"/>
      <c r="L55" s="19"/>
      <c r="M55" s="19"/>
      <c r="N55" s="19"/>
      <c r="O55" s="19" t="b">
        <v>1</v>
      </c>
      <c r="P55" s="34">
        <v>2</v>
      </c>
      <c r="Q55" s="34">
        <v>0</v>
      </c>
      <c r="R55" s="34">
        <v>0</v>
      </c>
      <c r="S55" s="34">
        <v>0</v>
      </c>
      <c r="T55" s="34">
        <v>2</v>
      </c>
      <c r="U55" s="19"/>
      <c r="V55" s="19"/>
      <c r="W55" s="19"/>
      <c r="X55" s="19"/>
      <c r="Y55" s="19"/>
      <c r="Z55" s="19"/>
      <c r="AA55" s="19"/>
      <c r="AB55" s="19"/>
      <c r="AC55" s="19"/>
      <c r="AD55" s="19" t="b">
        <f>OR(Glossary!$R45&gt;0,Glossary!$S45&gt;0,Glossary!$T45&gt;0)</f>
        <v>1</v>
      </c>
      <c r="AE55" s="19" t="b">
        <v>1</v>
      </c>
      <c r="AF55" s="19">
        <v>0</v>
      </c>
      <c r="AG55" s="19">
        <v>5.0000000000000002E-5</v>
      </c>
      <c r="AH55" s="19"/>
      <c r="AI55" s="19"/>
      <c r="AJ55" s="19"/>
      <c r="AK55" s="19">
        <v>4.0000000000000003E-5</v>
      </c>
      <c r="AL55" s="19" t="b">
        <f t="shared" si="1"/>
        <v>1</v>
      </c>
      <c r="AM55" s="19"/>
      <c r="AN55" s="19"/>
      <c r="AO55" s="19" t="s">
        <v>437</v>
      </c>
      <c r="AP55" s="19"/>
      <c r="AQ55" s="19"/>
      <c r="AR55" s="19" t="b">
        <v>1</v>
      </c>
      <c r="AS55" s="19"/>
      <c r="AT55" s="19"/>
      <c r="AU55" s="19" t="b">
        <v>1</v>
      </c>
      <c r="AV55" s="19" t="b">
        <v>1</v>
      </c>
      <c r="AW55" s="19"/>
    </row>
    <row r="56" spans="1:49" ht="12.75" customHeight="1" x14ac:dyDescent="0.2">
      <c r="A56" s="19" t="s">
        <v>438</v>
      </c>
      <c r="B56" s="19" t="s">
        <v>439</v>
      </c>
      <c r="C56" s="34" t="s">
        <v>987</v>
      </c>
      <c r="D56" s="34" t="s">
        <v>440</v>
      </c>
      <c r="E56" s="19" t="s">
        <v>441</v>
      </c>
      <c r="F56" s="19" t="s">
        <v>442</v>
      </c>
      <c r="G56" s="19" t="s">
        <v>225</v>
      </c>
      <c r="H56" s="19" t="s">
        <v>226</v>
      </c>
      <c r="I56" s="19" t="s">
        <v>258</v>
      </c>
      <c r="J56" s="19"/>
      <c r="K56" s="19"/>
      <c r="L56" s="19"/>
      <c r="M56" s="19"/>
      <c r="N56" s="19"/>
      <c r="O56" s="19"/>
      <c r="P56" s="34">
        <v>1</v>
      </c>
      <c r="Q56" s="34">
        <v>0</v>
      </c>
      <c r="R56" s="34">
        <v>0</v>
      </c>
      <c r="S56" s="34">
        <v>0</v>
      </c>
      <c r="T56" s="34">
        <v>2</v>
      </c>
      <c r="U56" s="19"/>
      <c r="V56" s="19"/>
      <c r="W56" s="19"/>
      <c r="X56" s="19"/>
      <c r="Y56" s="19"/>
      <c r="Z56" s="19"/>
      <c r="AA56" s="19"/>
      <c r="AB56" s="19"/>
      <c r="AC56" s="19"/>
      <c r="AD56" s="19" t="b">
        <f>OR(Glossary!$R46&gt;0,Glossary!$S46&gt;0,Glossary!$T46&gt;0)</f>
        <v>1</v>
      </c>
      <c r="AE56" s="19" t="b">
        <v>1</v>
      </c>
      <c r="AF56" s="19"/>
      <c r="AG56" s="19"/>
      <c r="AH56" s="19"/>
      <c r="AI56" s="19"/>
      <c r="AJ56" s="19"/>
      <c r="AK56" s="19"/>
      <c r="AL56" s="19" t="str">
        <f t="shared" si="1"/>
        <v/>
      </c>
      <c r="AM56" s="19"/>
      <c r="AN56" s="19"/>
      <c r="AO56" s="19" t="s">
        <v>443</v>
      </c>
      <c r="AP56" s="19"/>
      <c r="AQ56" s="19"/>
      <c r="AR56" s="19" t="b">
        <v>1</v>
      </c>
      <c r="AS56" s="19"/>
      <c r="AT56" s="19"/>
      <c r="AU56" s="19"/>
      <c r="AV56" s="19"/>
      <c r="AW56" s="19"/>
    </row>
    <row r="57" spans="1:49" ht="12.75" customHeight="1" x14ac:dyDescent="0.2">
      <c r="A57" s="19" t="s">
        <v>444</v>
      </c>
      <c r="B57" s="19" t="s">
        <v>445</v>
      </c>
      <c r="C57" s="34" t="s">
        <v>1035</v>
      </c>
      <c r="D57" s="34"/>
      <c r="E57" s="19"/>
      <c r="F57" s="19"/>
      <c r="G57" s="19" t="s">
        <v>225</v>
      </c>
      <c r="H57" s="19" t="s">
        <v>226</v>
      </c>
      <c r="I57" s="19" t="s">
        <v>258</v>
      </c>
      <c r="J57" s="19"/>
      <c r="K57" s="19"/>
      <c r="L57" s="19" t="b">
        <v>1</v>
      </c>
      <c r="M57" s="19"/>
      <c r="N57" s="19"/>
      <c r="O57" s="19"/>
      <c r="P57" s="34">
        <v>2</v>
      </c>
      <c r="Q57" s="34">
        <v>0</v>
      </c>
      <c r="R57" s="34">
        <v>0</v>
      </c>
      <c r="S57" s="34">
        <v>2</v>
      </c>
      <c r="T57" s="34">
        <v>0</v>
      </c>
      <c r="U57" s="19"/>
      <c r="V57" s="19"/>
      <c r="W57" s="19"/>
      <c r="X57" s="19"/>
      <c r="Y57" s="19"/>
      <c r="Z57" s="19"/>
      <c r="AA57" s="19"/>
      <c r="AB57" s="19"/>
      <c r="AC57" s="19"/>
      <c r="AD57" s="19" t="b">
        <v>1</v>
      </c>
      <c r="AE57" s="19" t="b">
        <v>0</v>
      </c>
      <c r="AF57" s="19"/>
      <c r="AG57" s="19"/>
      <c r="AH57" s="19"/>
      <c r="AI57" s="19"/>
      <c r="AJ57" s="19"/>
      <c r="AK57" s="19"/>
      <c r="AL57" s="19" t="str">
        <f t="shared" si="1"/>
        <v/>
      </c>
      <c r="AM57" s="19"/>
      <c r="AN57" s="19"/>
      <c r="AO57" s="19" t="s">
        <v>425</v>
      </c>
      <c r="AP57" s="19"/>
      <c r="AQ57" s="19"/>
      <c r="AR57" s="19"/>
      <c r="AS57" s="19"/>
      <c r="AT57" s="19"/>
      <c r="AU57" s="19"/>
      <c r="AV57" s="19" t="b">
        <v>1</v>
      </c>
      <c r="AW57" s="19"/>
    </row>
    <row r="58" spans="1:49" ht="12.75" customHeight="1" x14ac:dyDescent="0.2">
      <c r="A58" s="19" t="s">
        <v>446</v>
      </c>
      <c r="B58" s="19" t="s">
        <v>447</v>
      </c>
      <c r="C58" s="34" t="s">
        <v>988</v>
      </c>
      <c r="D58" s="34" t="s">
        <v>448</v>
      </c>
      <c r="E58" s="19" t="s">
        <v>449</v>
      </c>
      <c r="F58" s="19" t="s">
        <v>450</v>
      </c>
      <c r="G58" s="19" t="s">
        <v>83</v>
      </c>
      <c r="H58" s="19" t="s">
        <v>141</v>
      </c>
      <c r="I58" s="19" t="s">
        <v>100</v>
      </c>
      <c r="J58" s="19" t="b">
        <v>1</v>
      </c>
      <c r="K58" s="19"/>
      <c r="L58" s="19"/>
      <c r="M58" s="19"/>
      <c r="N58" s="19"/>
      <c r="O58" s="19"/>
      <c r="P58" s="34">
        <v>6</v>
      </c>
      <c r="Q58" s="34">
        <v>0</v>
      </c>
      <c r="R58" s="34">
        <v>0</v>
      </c>
      <c r="S58" s="34">
        <v>2</v>
      </c>
      <c r="T58" s="34">
        <v>0</v>
      </c>
      <c r="U58" s="19"/>
      <c r="V58" s="19"/>
      <c r="W58" s="19"/>
      <c r="X58" s="19"/>
      <c r="Y58" s="19"/>
      <c r="Z58" s="19"/>
      <c r="AA58" s="19"/>
      <c r="AB58" s="19"/>
      <c r="AC58" s="19"/>
      <c r="AD58" s="19" t="b">
        <f>OR(Glossary!$R47&gt;0,Glossary!$S47&gt;0,Glossary!$T47&gt;0)</f>
        <v>1</v>
      </c>
      <c r="AE58" s="19" t="b">
        <v>0</v>
      </c>
      <c r="AF58" s="19">
        <v>0.6</v>
      </c>
      <c r="AG58" s="19">
        <v>0.6</v>
      </c>
      <c r="AH58" s="19"/>
      <c r="AI58" s="19"/>
      <c r="AJ58" s="19"/>
      <c r="AK58" s="19"/>
      <c r="AL58" s="19" t="str">
        <f t="shared" si="1"/>
        <v/>
      </c>
      <c r="AM58" s="19"/>
      <c r="AN58" s="19"/>
      <c r="AO58" s="19" t="s">
        <v>451</v>
      </c>
      <c r="AP58" s="19"/>
      <c r="AQ58" s="19"/>
      <c r="AR58" s="19" t="b">
        <v>1</v>
      </c>
      <c r="AS58" s="19"/>
      <c r="AT58" s="19" t="b">
        <v>1</v>
      </c>
      <c r="AU58" s="19"/>
      <c r="AV58" s="19" t="b">
        <v>1</v>
      </c>
      <c r="AW58" s="19"/>
    </row>
    <row r="59" spans="1:49" ht="12.75" customHeight="1" x14ac:dyDescent="0.2">
      <c r="A59" s="19" t="s">
        <v>452</v>
      </c>
      <c r="B59" s="19" t="s">
        <v>453</v>
      </c>
      <c r="C59" s="34" t="s">
        <v>988</v>
      </c>
      <c r="D59" s="34" t="s">
        <v>454</v>
      </c>
      <c r="E59" s="19" t="s">
        <v>455</v>
      </c>
      <c r="F59" s="19" t="s">
        <v>456</v>
      </c>
      <c r="G59" s="19" t="s">
        <v>83</v>
      </c>
      <c r="H59" s="19" t="s">
        <v>141</v>
      </c>
      <c r="I59" s="19" t="s">
        <v>100</v>
      </c>
      <c r="J59" s="19" t="b">
        <v>1</v>
      </c>
      <c r="K59" s="19"/>
      <c r="L59" s="19"/>
      <c r="M59" s="19"/>
      <c r="N59" s="19"/>
      <c r="O59" s="19"/>
      <c r="P59" s="34">
        <v>6</v>
      </c>
      <c r="Q59" s="34">
        <v>0</v>
      </c>
      <c r="R59" s="34">
        <v>0</v>
      </c>
      <c r="S59" s="34">
        <v>2</v>
      </c>
      <c r="T59" s="34">
        <v>0</v>
      </c>
      <c r="U59" s="19"/>
      <c r="V59" s="19"/>
      <c r="W59" s="19"/>
      <c r="X59" s="19"/>
      <c r="Y59" s="19"/>
      <c r="Z59" s="19"/>
      <c r="AA59" s="19"/>
      <c r="AB59" s="19"/>
      <c r="AC59" s="19"/>
      <c r="AD59" s="19" t="b">
        <f>OR(Glossary!$R48&gt;0,Glossary!$S48&gt;0,Glossary!$T48&gt;0)</f>
        <v>0</v>
      </c>
      <c r="AE59" s="19" t="b">
        <v>0</v>
      </c>
      <c r="AF59" s="19"/>
      <c r="AG59" s="19"/>
      <c r="AH59" s="19"/>
      <c r="AI59" s="19"/>
      <c r="AJ59" s="19"/>
      <c r="AK59" s="19"/>
      <c r="AL59" s="19" t="str">
        <f t="shared" si="1"/>
        <v/>
      </c>
      <c r="AM59" s="19"/>
      <c r="AN59" s="19"/>
      <c r="AO59" s="19" t="s">
        <v>457</v>
      </c>
      <c r="AP59" s="19"/>
      <c r="AQ59" s="19"/>
      <c r="AR59" s="19" t="b">
        <v>1</v>
      </c>
      <c r="AS59" s="19"/>
      <c r="AT59" s="19"/>
      <c r="AU59" s="19"/>
      <c r="AV59" s="19"/>
      <c r="AW59" s="19"/>
    </row>
    <row r="60" spans="1:49" ht="12.75" customHeight="1" x14ac:dyDescent="0.2">
      <c r="A60" s="19" t="s">
        <v>458</v>
      </c>
      <c r="B60" s="19" t="s">
        <v>459</v>
      </c>
      <c r="C60" s="34" t="s">
        <v>988</v>
      </c>
      <c r="D60" s="34" t="s">
        <v>460</v>
      </c>
      <c r="E60" s="19" t="s">
        <v>461</v>
      </c>
      <c r="F60" s="19" t="s">
        <v>462</v>
      </c>
      <c r="G60" s="19" t="s">
        <v>83</v>
      </c>
      <c r="H60" s="19" t="s">
        <v>141</v>
      </c>
      <c r="I60" s="19" t="s">
        <v>100</v>
      </c>
      <c r="J60" s="19" t="b">
        <v>1</v>
      </c>
      <c r="K60" s="19"/>
      <c r="L60" s="19"/>
      <c r="M60" s="19"/>
      <c r="N60" s="19"/>
      <c r="O60" s="19"/>
      <c r="P60" s="34">
        <v>6</v>
      </c>
      <c r="Q60" s="34">
        <v>0</v>
      </c>
      <c r="R60" s="34">
        <v>0</v>
      </c>
      <c r="S60" s="34">
        <v>2</v>
      </c>
      <c r="T60" s="34">
        <v>0</v>
      </c>
      <c r="U60" s="19"/>
      <c r="V60" s="19"/>
      <c r="W60" s="19"/>
      <c r="X60" s="19"/>
      <c r="Y60" s="19"/>
      <c r="Z60" s="19"/>
      <c r="AA60" s="19"/>
      <c r="AB60" s="19"/>
      <c r="AC60" s="19"/>
      <c r="AD60" s="19" t="b">
        <f>OR(Glossary!$R49&gt;0,Glossary!$S49&gt;0,Glossary!$T49&gt;0)</f>
        <v>0</v>
      </c>
      <c r="AE60" s="19" t="b">
        <v>0</v>
      </c>
      <c r="AF60" s="19">
        <v>7.4999999999999997E-2</v>
      </c>
      <c r="AG60" s="19">
        <v>7.4999999999999997E-2</v>
      </c>
      <c r="AH60" s="19"/>
      <c r="AI60" s="19"/>
      <c r="AJ60" s="19"/>
      <c r="AK60" s="19"/>
      <c r="AL60" s="19" t="str">
        <f t="shared" si="1"/>
        <v/>
      </c>
      <c r="AM60" s="19"/>
      <c r="AN60" s="19"/>
      <c r="AO60" s="19" t="s">
        <v>463</v>
      </c>
      <c r="AP60" s="19"/>
      <c r="AQ60" s="19"/>
      <c r="AR60" s="19" t="b">
        <v>1</v>
      </c>
      <c r="AS60" s="19"/>
      <c r="AT60" s="19" t="b">
        <v>1</v>
      </c>
      <c r="AU60" s="19"/>
      <c r="AV60" s="19" t="b">
        <v>1</v>
      </c>
      <c r="AW60" s="19"/>
    </row>
    <row r="61" spans="1:49" ht="12.75" customHeight="1" x14ac:dyDescent="0.2">
      <c r="A61" s="19" t="s">
        <v>464</v>
      </c>
      <c r="B61" s="19" t="s">
        <v>465</v>
      </c>
      <c r="C61" s="34" t="s">
        <v>989</v>
      </c>
      <c r="D61" s="34" t="s">
        <v>466</v>
      </c>
      <c r="E61" s="19" t="s">
        <v>467</v>
      </c>
      <c r="F61" s="20" t="s">
        <v>468</v>
      </c>
      <c r="G61" s="19" t="s">
        <v>225</v>
      </c>
      <c r="H61" s="19" t="s">
        <v>226</v>
      </c>
      <c r="I61" s="19" t="s">
        <v>258</v>
      </c>
      <c r="J61" s="19"/>
      <c r="K61" s="19"/>
      <c r="L61" s="19"/>
      <c r="M61" s="19"/>
      <c r="N61" s="19"/>
      <c r="O61" s="19"/>
      <c r="P61" s="34">
        <v>1</v>
      </c>
      <c r="Q61" s="34">
        <v>0</v>
      </c>
      <c r="R61" s="34">
        <v>2</v>
      </c>
      <c r="S61" s="34">
        <v>2</v>
      </c>
      <c r="T61" s="34">
        <v>0</v>
      </c>
      <c r="U61" s="19"/>
      <c r="V61" s="19"/>
      <c r="W61" s="19"/>
      <c r="X61" s="19"/>
      <c r="Y61" s="19"/>
      <c r="Z61" s="19"/>
      <c r="AA61" s="19"/>
      <c r="AB61" s="19"/>
      <c r="AC61" s="19"/>
      <c r="AD61" s="19" t="b">
        <f>OR(Glossary!$R50&gt;0,Glossary!$S50&gt;0,Glossary!$T50&gt;0)</f>
        <v>1</v>
      </c>
      <c r="AE61" s="19" t="b">
        <v>1</v>
      </c>
      <c r="AF61" s="19"/>
      <c r="AG61" s="19"/>
      <c r="AH61" s="19"/>
      <c r="AI61" s="19"/>
      <c r="AJ61" s="19"/>
      <c r="AK61" s="19"/>
      <c r="AL61" s="19" t="str">
        <f t="shared" si="1"/>
        <v/>
      </c>
      <c r="AM61" s="19" t="b">
        <v>1</v>
      </c>
      <c r="AN61" s="19"/>
      <c r="AO61" s="19" t="s">
        <v>469</v>
      </c>
      <c r="AP61" s="19"/>
      <c r="AQ61" s="19"/>
      <c r="AR61" s="19" t="b">
        <v>1</v>
      </c>
      <c r="AS61" s="19"/>
      <c r="AT61" s="19"/>
      <c r="AU61" s="19"/>
      <c r="AV61" s="19"/>
      <c r="AW61" s="19"/>
    </row>
    <row r="62" spans="1:49" ht="12.75" customHeight="1" x14ac:dyDescent="0.2">
      <c r="A62" s="19" t="s">
        <v>470</v>
      </c>
      <c r="B62" s="19" t="s">
        <v>471</v>
      </c>
      <c r="C62" s="34" t="s">
        <v>990</v>
      </c>
      <c r="D62" s="34" t="s">
        <v>472</v>
      </c>
      <c r="E62" s="19" t="s">
        <v>473</v>
      </c>
      <c r="F62" s="19" t="s">
        <v>474</v>
      </c>
      <c r="G62" s="19" t="s">
        <v>225</v>
      </c>
      <c r="H62" s="19" t="s">
        <v>226</v>
      </c>
      <c r="I62" s="19" t="s">
        <v>258</v>
      </c>
      <c r="J62" s="19"/>
      <c r="K62" s="19"/>
      <c r="L62" s="19"/>
      <c r="M62" s="19"/>
      <c r="N62" s="19"/>
      <c r="O62" s="19"/>
      <c r="P62" s="34">
        <v>2</v>
      </c>
      <c r="Q62" s="34">
        <v>0</v>
      </c>
      <c r="R62" s="34">
        <v>0</v>
      </c>
      <c r="S62" s="34">
        <v>2</v>
      </c>
      <c r="T62" s="34">
        <v>0</v>
      </c>
      <c r="U62" s="19"/>
      <c r="V62" s="19"/>
      <c r="W62" s="19"/>
      <c r="X62" s="19"/>
      <c r="Y62" s="19"/>
      <c r="Z62" s="19"/>
      <c r="AA62" s="19"/>
      <c r="AB62" s="19"/>
      <c r="AC62" s="19"/>
      <c r="AD62" s="19" t="b">
        <f>OR(Glossary!$R51&gt;0,Glossary!$S51&gt;0,Glossary!$T51&gt;0)</f>
        <v>0</v>
      </c>
      <c r="AE62" s="19" t="b">
        <v>1</v>
      </c>
      <c r="AF62" s="19"/>
      <c r="AG62" s="19"/>
      <c r="AH62" s="19"/>
      <c r="AI62" s="19"/>
      <c r="AJ62" s="19"/>
      <c r="AK62" s="19"/>
      <c r="AL62" s="19" t="str">
        <f t="shared" si="1"/>
        <v/>
      </c>
      <c r="AM62" s="19"/>
      <c r="AN62" s="19"/>
      <c r="AO62" s="19" t="s">
        <v>475</v>
      </c>
      <c r="AP62" s="19"/>
      <c r="AQ62" s="19"/>
      <c r="AR62" s="19" t="b">
        <v>1</v>
      </c>
      <c r="AS62" s="19"/>
      <c r="AT62" s="19"/>
      <c r="AU62" s="19"/>
      <c r="AV62" s="19"/>
      <c r="AW62" s="19"/>
    </row>
    <row r="63" spans="1:49" ht="12.75" customHeight="1" x14ac:dyDescent="0.2">
      <c r="A63" s="19" t="s">
        <v>476</v>
      </c>
      <c r="B63" s="19" t="s">
        <v>477</v>
      </c>
      <c r="C63" s="34" t="s">
        <v>990</v>
      </c>
      <c r="D63" s="34" t="s">
        <v>478</v>
      </c>
      <c r="E63" s="19" t="s">
        <v>479</v>
      </c>
      <c r="F63" s="19" t="s">
        <v>480</v>
      </c>
      <c r="G63" s="19" t="s">
        <v>225</v>
      </c>
      <c r="H63" s="19" t="s">
        <v>226</v>
      </c>
      <c r="I63" s="19" t="s">
        <v>258</v>
      </c>
      <c r="J63" s="19"/>
      <c r="K63" s="19"/>
      <c r="L63" s="19"/>
      <c r="M63" s="19"/>
      <c r="N63" s="19"/>
      <c r="O63" s="19"/>
      <c r="P63" s="34">
        <v>2</v>
      </c>
      <c r="Q63" s="34">
        <v>0</v>
      </c>
      <c r="R63" s="34">
        <v>0</v>
      </c>
      <c r="S63" s="34">
        <v>2</v>
      </c>
      <c r="T63" s="34">
        <v>0</v>
      </c>
      <c r="U63" s="19"/>
      <c r="V63" s="19"/>
      <c r="W63" s="19"/>
      <c r="X63" s="19"/>
      <c r="Y63" s="19"/>
      <c r="Z63" s="19"/>
      <c r="AA63" s="19"/>
      <c r="AB63" s="19"/>
      <c r="AC63" s="19"/>
      <c r="AD63" s="19" t="b">
        <f>OR(Glossary!$R52&gt;0,Glossary!$S52&gt;0,Glossary!$T52&gt;0)</f>
        <v>1</v>
      </c>
      <c r="AE63" s="19" t="b">
        <v>1</v>
      </c>
      <c r="AF63" s="19">
        <v>0</v>
      </c>
      <c r="AG63" s="19">
        <v>5.0000000000000001E-3</v>
      </c>
      <c r="AH63" s="19"/>
      <c r="AI63" s="19"/>
      <c r="AJ63" s="19"/>
      <c r="AK63" s="19"/>
      <c r="AL63" s="19" t="str">
        <f t="shared" si="1"/>
        <v/>
      </c>
      <c r="AM63" s="19"/>
      <c r="AN63" s="19"/>
      <c r="AO63" s="19" t="s">
        <v>481</v>
      </c>
      <c r="AP63" s="19"/>
      <c r="AQ63" s="19"/>
      <c r="AR63" s="19" t="b">
        <v>1</v>
      </c>
      <c r="AS63" s="19"/>
      <c r="AT63" s="19" t="b">
        <v>1</v>
      </c>
      <c r="AU63" s="19"/>
      <c r="AV63" s="19" t="b">
        <v>1</v>
      </c>
      <c r="AW63" s="19"/>
    </row>
    <row r="64" spans="1:49" ht="12.75" customHeight="1" x14ac:dyDescent="0.2">
      <c r="A64" s="19" t="s">
        <v>482</v>
      </c>
      <c r="B64" s="19" t="s">
        <v>483</v>
      </c>
      <c r="C64" s="34" t="s">
        <v>991</v>
      </c>
      <c r="D64" s="34" t="s">
        <v>1053</v>
      </c>
      <c r="E64" s="19" t="s">
        <v>484</v>
      </c>
      <c r="F64" s="19" t="s">
        <v>485</v>
      </c>
      <c r="G64" s="19" t="s">
        <v>225</v>
      </c>
      <c r="H64" s="19" t="s">
        <v>226</v>
      </c>
      <c r="I64" s="19" t="s">
        <v>258</v>
      </c>
      <c r="J64" s="19"/>
      <c r="K64" s="19"/>
      <c r="L64" s="19"/>
      <c r="M64" s="19"/>
      <c r="N64" s="19"/>
      <c r="O64" s="19"/>
      <c r="P64" s="34">
        <v>2</v>
      </c>
      <c r="Q64" s="34">
        <v>0</v>
      </c>
      <c r="R64" s="34">
        <v>0</v>
      </c>
      <c r="S64" s="34">
        <v>2</v>
      </c>
      <c r="T64" s="34">
        <v>0</v>
      </c>
      <c r="U64" s="19"/>
      <c r="V64" s="19"/>
      <c r="W64" s="19"/>
      <c r="X64" s="19"/>
      <c r="Y64" s="19"/>
      <c r="Z64" s="19"/>
      <c r="AA64" s="19"/>
      <c r="AB64" s="19"/>
      <c r="AC64" s="19"/>
      <c r="AD64" s="19" t="b">
        <f>OR(Glossary!$R53&gt;0,Glossary!$S53&gt;0,Glossary!$T53&gt;0)</f>
        <v>1</v>
      </c>
      <c r="AE64" s="19" t="b">
        <v>0</v>
      </c>
      <c r="AF64" s="19">
        <v>7.0000000000000001E-3</v>
      </c>
      <c r="AG64" s="19">
        <v>7.0000000000000001E-3</v>
      </c>
      <c r="AH64" s="19"/>
      <c r="AI64" s="19"/>
      <c r="AJ64" s="19"/>
      <c r="AK64" s="19"/>
      <c r="AL64" s="19" t="str">
        <f t="shared" si="1"/>
        <v/>
      </c>
      <c r="AM64" s="19"/>
      <c r="AN64" s="19"/>
      <c r="AO64" s="19" t="s">
        <v>486</v>
      </c>
      <c r="AP64" s="19"/>
      <c r="AQ64" s="19"/>
      <c r="AR64" s="19" t="b">
        <v>1</v>
      </c>
      <c r="AS64" s="19"/>
      <c r="AT64" s="19" t="b">
        <v>1</v>
      </c>
      <c r="AU64" s="19"/>
      <c r="AV64" s="19" t="b">
        <v>1</v>
      </c>
      <c r="AW64" s="19"/>
    </row>
    <row r="65" spans="1:49" ht="12.75" customHeight="1" x14ac:dyDescent="0.2">
      <c r="A65" s="19" t="s">
        <v>487</v>
      </c>
      <c r="B65" s="19" t="s">
        <v>488</v>
      </c>
      <c r="C65" s="34" t="s">
        <v>991</v>
      </c>
      <c r="D65" s="34" t="s">
        <v>1054</v>
      </c>
      <c r="E65" s="19" t="s">
        <v>489</v>
      </c>
      <c r="F65" s="19" t="s">
        <v>490</v>
      </c>
      <c r="G65" s="19" t="s">
        <v>225</v>
      </c>
      <c r="H65" s="19" t="s">
        <v>330</v>
      </c>
      <c r="I65" s="19" t="s">
        <v>258</v>
      </c>
      <c r="J65" s="19"/>
      <c r="K65" s="19"/>
      <c r="L65" s="19"/>
      <c r="M65" s="19"/>
      <c r="N65" s="19"/>
      <c r="O65" s="19"/>
      <c r="P65" s="34">
        <v>2</v>
      </c>
      <c r="Q65" s="34">
        <v>0</v>
      </c>
      <c r="R65" s="34">
        <v>0</v>
      </c>
      <c r="S65" s="34">
        <v>2</v>
      </c>
      <c r="T65" s="34">
        <v>0</v>
      </c>
      <c r="U65" s="19"/>
      <c r="V65" s="19"/>
      <c r="W65" s="19"/>
      <c r="X65" s="19"/>
      <c r="Y65" s="19"/>
      <c r="Z65" s="19"/>
      <c r="AA65" s="19"/>
      <c r="AB65" s="19"/>
      <c r="AC65" s="19"/>
      <c r="AD65" s="19" t="b">
        <f>OR(Glossary!$R54&gt;0,Glossary!$S54&gt;0,Glossary!$T54&gt;0)</f>
        <v>1</v>
      </c>
      <c r="AE65" s="19" t="b">
        <v>0</v>
      </c>
      <c r="AF65" s="19">
        <v>7.0000000000000007E-2</v>
      </c>
      <c r="AG65" s="19">
        <v>7.0000000000000007E-2</v>
      </c>
      <c r="AH65" s="19"/>
      <c r="AI65" s="19"/>
      <c r="AJ65" s="19"/>
      <c r="AK65" s="19"/>
      <c r="AL65" s="19" t="str">
        <f t="shared" si="1"/>
        <v/>
      </c>
      <c r="AM65" s="19"/>
      <c r="AN65" s="19"/>
      <c r="AO65" s="19" t="s">
        <v>491</v>
      </c>
      <c r="AP65" s="19"/>
      <c r="AQ65" s="19"/>
      <c r="AR65" s="19" t="b">
        <v>1</v>
      </c>
      <c r="AS65" s="19"/>
      <c r="AT65" s="19" t="b">
        <v>1</v>
      </c>
      <c r="AU65" s="19"/>
      <c r="AV65" s="19" t="b">
        <v>1</v>
      </c>
      <c r="AW65" s="19"/>
    </row>
    <row r="66" spans="1:49" ht="12.75" customHeight="1" x14ac:dyDescent="0.2">
      <c r="A66" s="19" t="s">
        <v>492</v>
      </c>
      <c r="B66" s="19" t="s">
        <v>493</v>
      </c>
      <c r="C66" s="34" t="s">
        <v>991</v>
      </c>
      <c r="D66" s="34"/>
      <c r="E66" s="19"/>
      <c r="F66" s="19"/>
      <c r="G66" s="19" t="s">
        <v>225</v>
      </c>
      <c r="H66" s="19" t="s">
        <v>330</v>
      </c>
      <c r="I66" s="19" t="s">
        <v>258</v>
      </c>
      <c r="J66" s="19"/>
      <c r="K66" s="19"/>
      <c r="L66" s="19"/>
      <c r="M66" s="19"/>
      <c r="N66" s="19"/>
      <c r="O66" s="19"/>
      <c r="P66" s="34">
        <v>2</v>
      </c>
      <c r="Q66" s="34">
        <v>0</v>
      </c>
      <c r="R66" s="34">
        <v>0</v>
      </c>
      <c r="S66" s="34">
        <v>2</v>
      </c>
      <c r="T66" s="34">
        <v>0</v>
      </c>
      <c r="U66" s="19"/>
      <c r="V66" s="19"/>
      <c r="W66" s="19"/>
      <c r="X66" s="19"/>
      <c r="Y66" s="19"/>
      <c r="Z66" s="19"/>
      <c r="AA66" s="19"/>
      <c r="AB66" s="19"/>
      <c r="AC66" s="19"/>
      <c r="AD66" s="19" t="b">
        <v>1</v>
      </c>
      <c r="AE66" s="19" t="b">
        <v>0</v>
      </c>
      <c r="AF66" s="19"/>
      <c r="AG66" s="19"/>
      <c r="AH66" s="19"/>
      <c r="AI66" s="19"/>
      <c r="AJ66" s="19"/>
      <c r="AK66" s="19"/>
      <c r="AL66" s="19" t="str">
        <f t="shared" ref="AL66:AL97" si="2">IF(ISBLANK(AK66),"",AK66&lt;AG66)</f>
        <v/>
      </c>
      <c r="AM66" s="19"/>
      <c r="AN66" s="19"/>
      <c r="AO66" s="19" t="s">
        <v>494</v>
      </c>
      <c r="AP66" s="19"/>
      <c r="AQ66" s="19"/>
      <c r="AR66" s="19"/>
      <c r="AS66" s="19"/>
      <c r="AT66" s="19"/>
      <c r="AU66" s="19"/>
      <c r="AV66" s="19" t="b">
        <v>1</v>
      </c>
      <c r="AW66" s="19"/>
    </row>
    <row r="67" spans="1:49" ht="12.75" customHeight="1" x14ac:dyDescent="0.2">
      <c r="A67" s="19" t="s">
        <v>495</v>
      </c>
      <c r="B67" s="19" t="s">
        <v>496</v>
      </c>
      <c r="C67" s="34" t="s">
        <v>991</v>
      </c>
      <c r="D67" s="34" t="s">
        <v>1055</v>
      </c>
      <c r="E67" s="19" t="s">
        <v>497</v>
      </c>
      <c r="F67" s="19" t="s">
        <v>498</v>
      </c>
      <c r="G67" s="19" t="s">
        <v>225</v>
      </c>
      <c r="H67" s="19" t="s">
        <v>330</v>
      </c>
      <c r="I67" s="19" t="s">
        <v>258</v>
      </c>
      <c r="J67" s="19"/>
      <c r="K67" s="19"/>
      <c r="L67" s="19"/>
      <c r="M67" s="19"/>
      <c r="N67" s="19"/>
      <c r="O67" s="19"/>
      <c r="P67" s="34">
        <v>2</v>
      </c>
      <c r="Q67" s="34">
        <v>0</v>
      </c>
      <c r="R67" s="34">
        <v>0</v>
      </c>
      <c r="S67" s="34">
        <v>2</v>
      </c>
      <c r="T67" s="34">
        <v>0</v>
      </c>
      <c r="U67" s="19"/>
      <c r="V67" s="19"/>
      <c r="W67" s="19"/>
      <c r="X67" s="19"/>
      <c r="Y67" s="19"/>
      <c r="Z67" s="19"/>
      <c r="AA67" s="19"/>
      <c r="AB67" s="19"/>
      <c r="AC67" s="19"/>
      <c r="AD67" s="19" t="b">
        <f>OR(Glossary!$R55&gt;0,Glossary!$S55&gt;0,Glossary!$T55&gt;0)</f>
        <v>1</v>
      </c>
      <c r="AE67" s="19" t="b">
        <v>0</v>
      </c>
      <c r="AF67" s="19">
        <v>0.1</v>
      </c>
      <c r="AG67" s="19">
        <v>0.1</v>
      </c>
      <c r="AH67" s="19"/>
      <c r="AI67" s="19"/>
      <c r="AJ67" s="19"/>
      <c r="AK67" s="19"/>
      <c r="AL67" s="19" t="str">
        <f t="shared" si="2"/>
        <v/>
      </c>
      <c r="AM67" s="19"/>
      <c r="AN67" s="19"/>
      <c r="AO67" s="19" t="s">
        <v>499</v>
      </c>
      <c r="AP67" s="19"/>
      <c r="AQ67" s="19"/>
      <c r="AR67" s="19" t="b">
        <v>1</v>
      </c>
      <c r="AS67" s="19"/>
      <c r="AT67" s="19" t="b">
        <v>1</v>
      </c>
      <c r="AU67" s="19"/>
      <c r="AV67" s="19" t="b">
        <v>1</v>
      </c>
      <c r="AW67" s="19"/>
    </row>
    <row r="68" spans="1:49" ht="12.75" customHeight="1" x14ac:dyDescent="0.2">
      <c r="A68" s="19" t="s">
        <v>500</v>
      </c>
      <c r="B68" s="19" t="s">
        <v>501</v>
      </c>
      <c r="C68" s="34" t="s">
        <v>992</v>
      </c>
      <c r="D68" s="34"/>
      <c r="E68" s="19" t="s">
        <v>502</v>
      </c>
      <c r="F68" s="19" t="s">
        <v>503</v>
      </c>
      <c r="G68" s="19" t="s">
        <v>225</v>
      </c>
      <c r="H68" s="19" t="s">
        <v>226</v>
      </c>
      <c r="I68" s="19" t="s">
        <v>258</v>
      </c>
      <c r="J68" s="19"/>
      <c r="K68" s="19"/>
      <c r="L68" s="19"/>
      <c r="M68" s="19"/>
      <c r="N68" s="19"/>
      <c r="O68" s="19"/>
      <c r="P68" s="34">
        <v>3</v>
      </c>
      <c r="Q68" s="34">
        <v>0</v>
      </c>
      <c r="R68" s="34">
        <v>0</v>
      </c>
      <c r="S68" s="34">
        <v>2</v>
      </c>
      <c r="T68" s="34">
        <v>0</v>
      </c>
      <c r="U68" s="19"/>
      <c r="V68" s="19"/>
      <c r="W68" s="19"/>
      <c r="X68" s="19"/>
      <c r="Y68" s="19"/>
      <c r="Z68" s="19"/>
      <c r="AA68" s="19"/>
      <c r="AB68" s="19"/>
      <c r="AC68" s="19"/>
      <c r="AD68" s="19" t="b">
        <f>OR(Glossary!$R56&gt;0,Glossary!$S56&gt;0,Glossary!$T56&gt;0)</f>
        <v>1</v>
      </c>
      <c r="AE68" s="19" t="b">
        <v>1</v>
      </c>
      <c r="AF68" s="19">
        <v>0</v>
      </c>
      <c r="AG68" s="19">
        <v>5.0000000000000001E-3</v>
      </c>
      <c r="AH68" s="19"/>
      <c r="AI68" s="19"/>
      <c r="AJ68" s="19"/>
      <c r="AK68" s="19"/>
      <c r="AL68" s="19" t="str">
        <f t="shared" si="2"/>
        <v/>
      </c>
      <c r="AM68" s="19"/>
      <c r="AN68" s="19"/>
      <c r="AO68" s="19" t="s">
        <v>504</v>
      </c>
      <c r="AP68" s="19"/>
      <c r="AQ68" s="19"/>
      <c r="AR68" s="19" t="b">
        <v>1</v>
      </c>
      <c r="AS68" s="19"/>
      <c r="AT68" s="19" t="b">
        <v>1</v>
      </c>
      <c r="AU68" s="19"/>
      <c r="AV68" s="19"/>
      <c r="AW68" s="19" t="b">
        <v>1</v>
      </c>
    </row>
    <row r="69" spans="1:49" ht="12.75" customHeight="1" x14ac:dyDescent="0.2">
      <c r="A69" s="19" t="s">
        <v>505</v>
      </c>
      <c r="B69" s="19" t="s">
        <v>506</v>
      </c>
      <c r="C69" s="34" t="s">
        <v>992</v>
      </c>
      <c r="D69" s="34"/>
      <c r="E69" s="19" t="s">
        <v>507</v>
      </c>
      <c r="F69" s="19" t="s">
        <v>508</v>
      </c>
      <c r="G69" s="19" t="s">
        <v>225</v>
      </c>
      <c r="H69" s="19" t="s">
        <v>226</v>
      </c>
      <c r="I69" s="19" t="s">
        <v>258</v>
      </c>
      <c r="J69" s="19"/>
      <c r="K69" s="19"/>
      <c r="L69" s="19"/>
      <c r="M69" s="19"/>
      <c r="N69" s="19"/>
      <c r="O69" s="19"/>
      <c r="P69" s="34">
        <v>3</v>
      </c>
      <c r="Q69" s="34">
        <v>0</v>
      </c>
      <c r="R69" s="34">
        <v>0</v>
      </c>
      <c r="S69" s="34">
        <v>2</v>
      </c>
      <c r="T69" s="34">
        <v>0</v>
      </c>
      <c r="U69" s="19"/>
      <c r="V69" s="19"/>
      <c r="W69" s="19"/>
      <c r="X69" s="19"/>
      <c r="Y69" s="19"/>
      <c r="Z69" s="19"/>
      <c r="AA69" s="19"/>
      <c r="AB69" s="19"/>
      <c r="AC69" s="19"/>
      <c r="AD69" s="19" t="b">
        <f>OR(Glossary!$R57&gt;0,Glossary!$S57&gt;0,Glossary!$T57&gt;0)</f>
        <v>1</v>
      </c>
      <c r="AE69" s="19" t="b">
        <v>1</v>
      </c>
      <c r="AF69" s="19"/>
      <c r="AG69" s="19"/>
      <c r="AH69" s="19"/>
      <c r="AI69" s="19"/>
      <c r="AJ69" s="19"/>
      <c r="AK69" s="19"/>
      <c r="AL69" s="19" t="str">
        <f t="shared" si="2"/>
        <v/>
      </c>
      <c r="AM69" s="19"/>
      <c r="AN69" s="19"/>
      <c r="AO69" s="19" t="s">
        <v>510</v>
      </c>
      <c r="AP69" s="19"/>
      <c r="AQ69" s="19" t="s">
        <v>1051</v>
      </c>
      <c r="AR69" s="19" t="b">
        <v>1</v>
      </c>
      <c r="AS69" s="19"/>
      <c r="AT69" s="19"/>
      <c r="AU69" s="19"/>
      <c r="AV69" s="19"/>
      <c r="AW69" s="19"/>
    </row>
    <row r="70" spans="1:49" ht="12.75" customHeight="1" x14ac:dyDescent="0.2">
      <c r="A70" s="19" t="s">
        <v>511</v>
      </c>
      <c r="B70" s="19" t="s">
        <v>512</v>
      </c>
      <c r="C70" s="34" t="s">
        <v>992</v>
      </c>
      <c r="D70" s="34" t="s">
        <v>513</v>
      </c>
      <c r="E70" s="19" t="s">
        <v>514</v>
      </c>
      <c r="F70" s="19" t="s">
        <v>515</v>
      </c>
      <c r="G70" s="19" t="s">
        <v>225</v>
      </c>
      <c r="H70" s="19" t="s">
        <v>226</v>
      </c>
      <c r="I70" s="19" t="s">
        <v>258</v>
      </c>
      <c r="J70" s="19"/>
      <c r="K70" s="19"/>
      <c r="L70" s="19"/>
      <c r="M70" s="19"/>
      <c r="N70" s="19"/>
      <c r="O70" s="19"/>
      <c r="P70" s="34">
        <v>3</v>
      </c>
      <c r="Q70" s="34">
        <v>0</v>
      </c>
      <c r="R70" s="34">
        <v>0</v>
      </c>
      <c r="S70" s="34">
        <v>2</v>
      </c>
      <c r="T70" s="34">
        <v>0</v>
      </c>
      <c r="U70" s="19"/>
      <c r="V70" s="19"/>
      <c r="W70" s="19"/>
      <c r="X70" s="19"/>
      <c r="Y70" s="19"/>
      <c r="Z70" s="19"/>
      <c r="AA70" s="19"/>
      <c r="AB70" s="19"/>
      <c r="AC70" s="19"/>
      <c r="AD70" s="19" t="b">
        <f>OR(Glossary!$R58&gt;0,Glossary!$S58&gt;0,Glossary!$T58&gt;0)</f>
        <v>1</v>
      </c>
      <c r="AE70" s="19" t="b">
        <v>1</v>
      </c>
      <c r="AF70" s="19"/>
      <c r="AG70" s="19"/>
      <c r="AH70" s="19"/>
      <c r="AI70" s="19"/>
      <c r="AJ70" s="19"/>
      <c r="AK70" s="19"/>
      <c r="AL70" s="19" t="str">
        <f t="shared" si="2"/>
        <v/>
      </c>
      <c r="AM70" s="19"/>
      <c r="AN70" s="19"/>
      <c r="AO70" s="19" t="s">
        <v>516</v>
      </c>
      <c r="AP70" s="19"/>
      <c r="AQ70" s="19"/>
      <c r="AR70" s="19" t="b">
        <v>1</v>
      </c>
      <c r="AS70" s="19"/>
      <c r="AT70" s="19"/>
      <c r="AU70" s="19"/>
      <c r="AV70" s="19"/>
      <c r="AW70" s="19"/>
    </row>
    <row r="71" spans="1:49" ht="12.75" customHeight="1" x14ac:dyDescent="0.2">
      <c r="A71" s="19" t="s">
        <v>517</v>
      </c>
      <c r="B71" s="19" t="s">
        <v>518</v>
      </c>
      <c r="C71" s="34" t="s">
        <v>993</v>
      </c>
      <c r="D71" s="34"/>
      <c r="E71" s="19" t="s">
        <v>519</v>
      </c>
      <c r="F71" s="19" t="s">
        <v>520</v>
      </c>
      <c r="G71" s="19" t="s">
        <v>225</v>
      </c>
      <c r="H71" s="19" t="s">
        <v>226</v>
      </c>
      <c r="I71" s="19" t="s">
        <v>258</v>
      </c>
      <c r="J71" s="19"/>
      <c r="K71" s="19"/>
      <c r="L71" s="19"/>
      <c r="M71" s="19"/>
      <c r="N71" s="19"/>
      <c r="O71" s="19"/>
      <c r="P71" s="34">
        <v>3</v>
      </c>
      <c r="Q71" s="34">
        <v>0</v>
      </c>
      <c r="R71" s="34">
        <v>0</v>
      </c>
      <c r="S71" s="34">
        <v>2</v>
      </c>
      <c r="T71" s="34">
        <v>0</v>
      </c>
      <c r="U71" s="19"/>
      <c r="V71" s="19"/>
      <c r="W71" s="19"/>
      <c r="X71" s="19"/>
      <c r="Y71" s="19"/>
      <c r="Z71" s="19"/>
      <c r="AA71" s="19"/>
      <c r="AB71" s="19"/>
      <c r="AC71" s="19"/>
      <c r="AD71" s="19" t="b">
        <f>OR(Glossary!$R59&gt;0,Glossary!$S59&gt;0,Glossary!$T59&gt;0)</f>
        <v>1</v>
      </c>
      <c r="AE71" s="19" t="b">
        <v>0</v>
      </c>
      <c r="AF71" s="19"/>
      <c r="AG71" s="19"/>
      <c r="AH71" s="19"/>
      <c r="AI71" s="19"/>
      <c r="AJ71" s="19"/>
      <c r="AK71" s="19"/>
      <c r="AL71" s="19" t="str">
        <f t="shared" si="2"/>
        <v/>
      </c>
      <c r="AM71" s="19"/>
      <c r="AN71" s="19"/>
      <c r="AO71" s="19" t="s">
        <v>521</v>
      </c>
      <c r="AP71" s="19"/>
      <c r="AQ71" s="19"/>
      <c r="AR71" s="19" t="b">
        <v>1</v>
      </c>
      <c r="AS71" s="19"/>
      <c r="AT71" s="19"/>
      <c r="AU71" s="19"/>
      <c r="AV71" s="19"/>
      <c r="AW71" s="19"/>
    </row>
    <row r="72" spans="1:49" ht="12.75" customHeight="1" x14ac:dyDescent="0.2">
      <c r="A72" s="19" t="s">
        <v>522</v>
      </c>
      <c r="B72" s="19" t="s">
        <v>523</v>
      </c>
      <c r="C72" s="34" t="s">
        <v>526</v>
      </c>
      <c r="D72" s="34" t="s">
        <v>524</v>
      </c>
      <c r="E72" s="19" t="s">
        <v>525</v>
      </c>
      <c r="F72" s="19" t="s">
        <v>526</v>
      </c>
      <c r="G72" s="19" t="s">
        <v>225</v>
      </c>
      <c r="H72" s="19" t="s">
        <v>226</v>
      </c>
      <c r="I72" s="19" t="s">
        <v>258</v>
      </c>
      <c r="J72" s="19"/>
      <c r="K72" s="19"/>
      <c r="L72" s="19"/>
      <c r="M72" s="19"/>
      <c r="N72" s="19"/>
      <c r="O72" s="19" t="b">
        <v>1</v>
      </c>
      <c r="P72" s="34">
        <v>3</v>
      </c>
      <c r="Q72" s="34">
        <v>0</v>
      </c>
      <c r="R72" s="34">
        <v>0</v>
      </c>
      <c r="S72" s="34">
        <v>2</v>
      </c>
      <c r="T72" s="34">
        <v>0</v>
      </c>
      <c r="U72" s="19"/>
      <c r="V72" s="19"/>
      <c r="W72" s="19"/>
      <c r="X72" s="19"/>
      <c r="Y72" s="19"/>
      <c r="Z72" s="19"/>
      <c r="AA72" s="19"/>
      <c r="AB72" s="19"/>
      <c r="AC72" s="19"/>
      <c r="AD72" s="19" t="b">
        <f>OR(Glossary!$R60&gt;0,Glossary!$S60&gt;0,Glossary!$T60&gt;0)</f>
        <v>1</v>
      </c>
      <c r="AE72" s="19" t="b">
        <v>1</v>
      </c>
      <c r="AF72" s="19"/>
      <c r="AG72" s="19"/>
      <c r="AH72" s="19"/>
      <c r="AI72" s="19"/>
      <c r="AJ72" s="19"/>
      <c r="AK72" s="19"/>
      <c r="AL72" s="19" t="str">
        <f t="shared" si="2"/>
        <v/>
      </c>
      <c r="AM72" s="19"/>
      <c r="AN72" s="19"/>
      <c r="AO72" s="19" t="s">
        <v>527</v>
      </c>
      <c r="AP72" s="19"/>
      <c r="AQ72" s="19"/>
      <c r="AR72" s="19" t="b">
        <v>1</v>
      </c>
      <c r="AS72" s="19"/>
      <c r="AT72" s="19"/>
      <c r="AU72" s="19"/>
      <c r="AV72" s="19"/>
      <c r="AW72" s="19"/>
    </row>
    <row r="73" spans="1:49" ht="12.75" customHeight="1" x14ac:dyDescent="0.2">
      <c r="A73" s="19" t="s">
        <v>528</v>
      </c>
      <c r="B73" s="19" t="s">
        <v>529</v>
      </c>
      <c r="C73" s="34" t="s">
        <v>993</v>
      </c>
      <c r="D73" s="34" t="s">
        <v>530</v>
      </c>
      <c r="E73" s="19" t="s">
        <v>531</v>
      </c>
      <c r="F73" s="19" t="s">
        <v>532</v>
      </c>
      <c r="G73" s="19" t="s">
        <v>225</v>
      </c>
      <c r="H73" s="19" t="s">
        <v>330</v>
      </c>
      <c r="I73" s="19" t="s">
        <v>258</v>
      </c>
      <c r="J73" s="19"/>
      <c r="K73" s="19"/>
      <c r="L73" s="19"/>
      <c r="M73" s="19"/>
      <c r="N73" s="19"/>
      <c r="O73" s="19" t="b">
        <v>1</v>
      </c>
      <c r="P73" s="34">
        <v>3</v>
      </c>
      <c r="Q73" s="34">
        <v>0</v>
      </c>
      <c r="R73" s="34">
        <v>0</v>
      </c>
      <c r="S73" s="34">
        <v>2</v>
      </c>
      <c r="T73" s="34">
        <v>0</v>
      </c>
      <c r="U73" s="19"/>
      <c r="V73" s="19"/>
      <c r="W73" s="19"/>
      <c r="X73" s="19"/>
      <c r="Y73" s="19"/>
      <c r="Z73" s="19"/>
      <c r="AA73" s="19"/>
      <c r="AB73" s="19"/>
      <c r="AC73" s="19"/>
      <c r="AD73" s="19" t="b">
        <f>OR(Glossary!$R61&gt;0,Glossary!$S61&gt;0,Glossary!$T61&gt;0)</f>
        <v>1</v>
      </c>
      <c r="AE73" s="19" t="b">
        <v>0</v>
      </c>
      <c r="AF73" s="19"/>
      <c r="AG73" s="19"/>
      <c r="AH73" s="19"/>
      <c r="AI73" s="19"/>
      <c r="AJ73" s="19"/>
      <c r="AK73" s="19"/>
      <c r="AL73" s="19" t="str">
        <f t="shared" si="2"/>
        <v/>
      </c>
      <c r="AM73" s="19"/>
      <c r="AN73" s="19"/>
      <c r="AO73" s="19" t="s">
        <v>533</v>
      </c>
      <c r="AP73" s="19"/>
      <c r="AQ73" s="19"/>
      <c r="AR73" s="19" t="b">
        <v>1</v>
      </c>
      <c r="AS73" s="19"/>
      <c r="AT73" s="19"/>
      <c r="AU73" s="19"/>
      <c r="AV73" s="19"/>
      <c r="AW73" s="19"/>
    </row>
    <row r="74" spans="1:49" ht="12.75" customHeight="1" x14ac:dyDescent="0.2">
      <c r="A74" s="19" t="s">
        <v>534</v>
      </c>
      <c r="B74" s="19" t="s">
        <v>535</v>
      </c>
      <c r="C74" s="34" t="s">
        <v>993</v>
      </c>
      <c r="D74" s="34" t="s">
        <v>536</v>
      </c>
      <c r="E74" s="19" t="s">
        <v>537</v>
      </c>
      <c r="F74" s="19" t="s">
        <v>538</v>
      </c>
      <c r="G74" s="19" t="s">
        <v>225</v>
      </c>
      <c r="H74" s="19" t="s">
        <v>330</v>
      </c>
      <c r="I74" s="19" t="s">
        <v>258</v>
      </c>
      <c r="J74" s="19"/>
      <c r="K74" s="19"/>
      <c r="L74" s="19"/>
      <c r="M74" s="19"/>
      <c r="N74" s="19"/>
      <c r="O74" s="19" t="b">
        <v>1</v>
      </c>
      <c r="P74" s="34">
        <v>3</v>
      </c>
      <c r="Q74" s="34">
        <v>0</v>
      </c>
      <c r="R74" s="34">
        <v>0</v>
      </c>
      <c r="S74" s="34">
        <v>2</v>
      </c>
      <c r="T74" s="34">
        <v>0</v>
      </c>
      <c r="U74" s="19"/>
      <c r="V74" s="19"/>
      <c r="W74" s="19"/>
      <c r="X74" s="19"/>
      <c r="Y74" s="19"/>
      <c r="Z74" s="19"/>
      <c r="AA74" s="19"/>
      <c r="AB74" s="19"/>
      <c r="AC74" s="19"/>
      <c r="AD74" s="19" t="b">
        <f>OR(Glossary!$R62&gt;0,Glossary!$S62&gt;0,Glossary!$T62&gt;0)</f>
        <v>1</v>
      </c>
      <c r="AE74" s="19" t="b">
        <v>0</v>
      </c>
      <c r="AF74" s="19"/>
      <c r="AG74" s="19"/>
      <c r="AH74" s="19"/>
      <c r="AI74" s="19"/>
      <c r="AJ74" s="19"/>
      <c r="AK74" s="19"/>
      <c r="AL74" s="19" t="str">
        <f t="shared" si="2"/>
        <v/>
      </c>
      <c r="AM74" s="19"/>
      <c r="AN74" s="19"/>
      <c r="AO74" s="19" t="s">
        <v>539</v>
      </c>
      <c r="AP74" s="19"/>
      <c r="AQ74" s="19"/>
      <c r="AR74" s="19" t="b">
        <v>1</v>
      </c>
      <c r="AS74" s="19"/>
      <c r="AT74" s="19"/>
      <c r="AU74" s="19"/>
      <c r="AV74" s="19"/>
      <c r="AW74" s="19"/>
    </row>
    <row r="75" spans="1:49" ht="12.75" customHeight="1" x14ac:dyDescent="0.2">
      <c r="A75" s="19" t="s">
        <v>540</v>
      </c>
      <c r="B75" s="19" t="s">
        <v>541</v>
      </c>
      <c r="C75" s="34" t="s">
        <v>994</v>
      </c>
      <c r="D75" s="34" t="s">
        <v>541</v>
      </c>
      <c r="E75" s="19" t="s">
        <v>542</v>
      </c>
      <c r="F75" s="19" t="s">
        <v>543</v>
      </c>
      <c r="G75" s="19" t="s">
        <v>225</v>
      </c>
      <c r="H75" s="19" t="s">
        <v>226</v>
      </c>
      <c r="I75" s="19" t="s">
        <v>227</v>
      </c>
      <c r="J75" s="19"/>
      <c r="K75" s="19"/>
      <c r="L75" s="19"/>
      <c r="M75" s="19"/>
      <c r="N75" s="19"/>
      <c r="O75" s="19"/>
      <c r="P75" s="34">
        <v>6</v>
      </c>
      <c r="Q75" s="34">
        <v>0</v>
      </c>
      <c r="R75" s="34">
        <v>0</v>
      </c>
      <c r="S75" s="34">
        <v>0</v>
      </c>
      <c r="T75" s="34">
        <v>0</v>
      </c>
      <c r="U75" s="19"/>
      <c r="V75" s="19"/>
      <c r="W75" s="19"/>
      <c r="X75" s="19">
        <v>1</v>
      </c>
      <c r="Y75" s="19"/>
      <c r="Z75" s="19"/>
      <c r="AA75" s="19"/>
      <c r="AB75" s="19"/>
      <c r="AC75" s="19"/>
      <c r="AD75" s="19" t="b">
        <f>OR(Glossary!$R63&gt;0,Glossary!$S63&gt;0,Glossary!$T63&gt;0)</f>
        <v>1</v>
      </c>
      <c r="AE75" s="19" t="b">
        <v>1</v>
      </c>
      <c r="AF75" s="19"/>
      <c r="AG75" s="19"/>
      <c r="AH75" s="19"/>
      <c r="AI75" s="19"/>
      <c r="AJ75" s="19"/>
      <c r="AK75" s="19"/>
      <c r="AL75" s="19" t="str">
        <f t="shared" si="2"/>
        <v/>
      </c>
      <c r="AM75" s="19"/>
      <c r="AN75" s="19"/>
      <c r="AO75" s="19" t="s">
        <v>544</v>
      </c>
      <c r="AP75" s="19"/>
      <c r="AQ75" s="19"/>
      <c r="AR75" s="19" t="b">
        <v>1</v>
      </c>
      <c r="AS75" s="19"/>
      <c r="AT75" s="19"/>
      <c r="AU75" s="19"/>
      <c r="AV75" s="19"/>
      <c r="AW75" s="19"/>
    </row>
    <row r="76" spans="1:49" ht="12.75" customHeight="1" x14ac:dyDescent="0.2">
      <c r="A76" s="19" t="s">
        <v>545</v>
      </c>
      <c r="B76" s="19" t="s">
        <v>545</v>
      </c>
      <c r="C76" s="34" t="s">
        <v>995</v>
      </c>
      <c r="D76" s="34" t="s">
        <v>546</v>
      </c>
      <c r="E76" s="19" t="s">
        <v>547</v>
      </c>
      <c r="F76" s="19" t="s">
        <v>548</v>
      </c>
      <c r="G76" s="19" t="s">
        <v>225</v>
      </c>
      <c r="H76" s="19" t="s">
        <v>330</v>
      </c>
      <c r="I76" s="19" t="s">
        <v>331</v>
      </c>
      <c r="J76" s="19"/>
      <c r="K76" s="19"/>
      <c r="L76" s="19"/>
      <c r="M76" s="19"/>
      <c r="N76" s="19"/>
      <c r="O76" s="19" t="b">
        <v>1</v>
      </c>
      <c r="P76" s="34">
        <v>12</v>
      </c>
      <c r="Q76" s="34">
        <v>0</v>
      </c>
      <c r="R76" s="34">
        <v>0</v>
      </c>
      <c r="S76" s="34">
        <v>6</v>
      </c>
      <c r="T76" s="34">
        <v>0</v>
      </c>
      <c r="U76" s="19"/>
      <c r="V76" s="19"/>
      <c r="W76" s="19"/>
      <c r="X76" s="19">
        <v>1</v>
      </c>
      <c r="Y76" s="19"/>
      <c r="Z76" s="19"/>
      <c r="AA76" s="19"/>
      <c r="AB76" s="19"/>
      <c r="AC76" s="19"/>
      <c r="AD76" s="19" t="b">
        <f>OR(Glossary!$R64&gt;0,Glossary!$S64&gt;0,Glossary!$T64&gt;0)</f>
        <v>1</v>
      </c>
      <c r="AE76" s="19" t="b">
        <v>0</v>
      </c>
      <c r="AF76" s="19">
        <v>2E-3</v>
      </c>
      <c r="AG76" s="19">
        <v>2E-3</v>
      </c>
      <c r="AH76" s="19"/>
      <c r="AI76" s="19"/>
      <c r="AJ76" s="19"/>
      <c r="AK76" s="19">
        <v>2E-3</v>
      </c>
      <c r="AL76" s="19" t="b">
        <f t="shared" si="2"/>
        <v>0</v>
      </c>
      <c r="AM76" s="19"/>
      <c r="AN76" s="19" t="s">
        <v>72</v>
      </c>
      <c r="AO76" s="19" t="s">
        <v>549</v>
      </c>
      <c r="AP76" s="19"/>
      <c r="AQ76" s="19"/>
      <c r="AR76" s="19" t="b">
        <v>1</v>
      </c>
      <c r="AS76" s="19"/>
      <c r="AT76" s="19"/>
      <c r="AU76" s="19"/>
      <c r="AV76" s="19"/>
      <c r="AW76" s="19"/>
    </row>
    <row r="77" spans="1:49" ht="12.75" customHeight="1" x14ac:dyDescent="0.2">
      <c r="A77" s="19" t="s">
        <v>550</v>
      </c>
      <c r="B77" s="19" t="s">
        <v>551</v>
      </c>
      <c r="C77" s="34" t="s">
        <v>994</v>
      </c>
      <c r="D77" s="34" t="s">
        <v>552</v>
      </c>
      <c r="E77" s="19" t="s">
        <v>553</v>
      </c>
      <c r="F77" s="19" t="s">
        <v>554</v>
      </c>
      <c r="G77" s="19" t="s">
        <v>225</v>
      </c>
      <c r="H77" s="19" t="s">
        <v>226</v>
      </c>
      <c r="I77" s="19" t="s">
        <v>227</v>
      </c>
      <c r="J77" s="19"/>
      <c r="K77" s="19"/>
      <c r="L77" s="19"/>
      <c r="M77" s="19"/>
      <c r="N77" s="19"/>
      <c r="O77" s="19"/>
      <c r="P77" s="34">
        <v>6</v>
      </c>
      <c r="Q77" s="34">
        <v>0</v>
      </c>
      <c r="R77" s="34">
        <v>0</v>
      </c>
      <c r="S77" s="34">
        <v>0</v>
      </c>
      <c r="T77" s="34">
        <v>0</v>
      </c>
      <c r="U77" s="19"/>
      <c r="V77" s="19"/>
      <c r="W77" s="19"/>
      <c r="X77" s="19"/>
      <c r="Y77" s="19"/>
      <c r="Z77" s="19"/>
      <c r="AA77" s="19"/>
      <c r="AB77" s="19"/>
      <c r="AC77" s="19"/>
      <c r="AD77" s="19" t="b">
        <f>OR(Glossary!$R65&gt;0,Glossary!$S65&gt;0,Glossary!$T65&gt;0)</f>
        <v>1</v>
      </c>
      <c r="AE77" s="19" t="b">
        <v>1</v>
      </c>
      <c r="AF77" s="19"/>
      <c r="AG77" s="19"/>
      <c r="AH77" s="19"/>
      <c r="AI77" s="19"/>
      <c r="AJ77" s="19"/>
      <c r="AK77" s="19"/>
      <c r="AL77" s="19" t="str">
        <f t="shared" si="2"/>
        <v/>
      </c>
      <c r="AM77" s="19"/>
      <c r="AN77" s="19"/>
      <c r="AO77" s="19" t="s">
        <v>555</v>
      </c>
      <c r="AP77" s="19"/>
      <c r="AQ77" s="19"/>
      <c r="AR77" s="19" t="b">
        <v>1</v>
      </c>
      <c r="AS77" s="19"/>
      <c r="AT77" s="19"/>
      <c r="AU77" s="19"/>
      <c r="AV77" s="19"/>
      <c r="AW77" s="19"/>
    </row>
    <row r="78" spans="1:49" ht="12.75" customHeight="1" x14ac:dyDescent="0.2">
      <c r="A78" s="19" t="s">
        <v>556</v>
      </c>
      <c r="B78" s="19" t="s">
        <v>557</v>
      </c>
      <c r="C78" s="34" t="s">
        <v>996</v>
      </c>
      <c r="D78" s="34"/>
      <c r="E78" s="19" t="s">
        <v>558</v>
      </c>
      <c r="F78" s="19" t="s">
        <v>559</v>
      </c>
      <c r="G78" s="19" t="s">
        <v>83</v>
      </c>
      <c r="H78" s="19" t="s">
        <v>141</v>
      </c>
      <c r="I78" s="19" t="s">
        <v>289</v>
      </c>
      <c r="J78" s="19" t="b">
        <v>1</v>
      </c>
      <c r="K78" s="19" t="b">
        <v>1</v>
      </c>
      <c r="L78" s="19"/>
      <c r="M78" s="19" t="b">
        <v>1</v>
      </c>
      <c r="N78" s="19"/>
      <c r="O78" s="19"/>
      <c r="P78" s="34">
        <v>8</v>
      </c>
      <c r="Q78" s="34">
        <v>0</v>
      </c>
      <c r="R78" s="34">
        <v>0</v>
      </c>
      <c r="S78" s="34">
        <v>0</v>
      </c>
      <c r="T78" s="34">
        <v>0</v>
      </c>
      <c r="U78" s="19"/>
      <c r="V78" s="19"/>
      <c r="W78" s="19"/>
      <c r="X78" s="19"/>
      <c r="Y78" s="19"/>
      <c r="Z78" s="19"/>
      <c r="AA78" s="19"/>
      <c r="AB78" s="19"/>
      <c r="AC78" s="19"/>
      <c r="AD78" s="19" t="b">
        <f>OR(Glossary!$R66&gt;0,Glossary!$S66&gt;0,Glossary!$T66&gt;0)</f>
        <v>1</v>
      </c>
      <c r="AE78" s="19" t="b">
        <v>0</v>
      </c>
      <c r="AF78" s="19">
        <v>0.7</v>
      </c>
      <c r="AG78" s="19">
        <v>0.7</v>
      </c>
      <c r="AH78" s="19"/>
      <c r="AI78" s="19"/>
      <c r="AJ78" s="19"/>
      <c r="AK78" s="19"/>
      <c r="AL78" s="19" t="str">
        <f t="shared" si="2"/>
        <v/>
      </c>
      <c r="AM78" s="19"/>
      <c r="AN78" s="19"/>
      <c r="AO78" s="19" t="s">
        <v>560</v>
      </c>
      <c r="AP78" s="19"/>
      <c r="AQ78" s="19"/>
      <c r="AR78" s="19" t="b">
        <v>1</v>
      </c>
      <c r="AS78" s="19"/>
      <c r="AT78" s="19" t="b">
        <v>1</v>
      </c>
      <c r="AU78" s="19" t="b">
        <v>1</v>
      </c>
      <c r="AV78" s="19" t="b">
        <v>1</v>
      </c>
      <c r="AW78" s="19"/>
    </row>
    <row r="79" spans="1:49" ht="12.75" customHeight="1" x14ac:dyDescent="0.2">
      <c r="A79" s="19" t="s">
        <v>561</v>
      </c>
      <c r="B79" s="19" t="s">
        <v>562</v>
      </c>
      <c r="C79" s="34" t="s">
        <v>997</v>
      </c>
      <c r="D79" s="34" t="s">
        <v>563</v>
      </c>
      <c r="E79" s="19" t="s">
        <v>564</v>
      </c>
      <c r="F79" s="19" t="s">
        <v>565</v>
      </c>
      <c r="G79" s="19" t="s">
        <v>83</v>
      </c>
      <c r="H79" s="19" t="s">
        <v>87</v>
      </c>
      <c r="I79" s="19"/>
      <c r="J79" s="19" t="b">
        <v>1</v>
      </c>
      <c r="K79" s="19"/>
      <c r="L79" s="19"/>
      <c r="M79" s="19" t="b">
        <v>1</v>
      </c>
      <c r="N79" s="19" t="b">
        <v>1</v>
      </c>
      <c r="O79" s="19"/>
      <c r="P79" s="34">
        <v>16</v>
      </c>
      <c r="Q79" s="34">
        <v>0</v>
      </c>
      <c r="R79" s="34">
        <v>0</v>
      </c>
      <c r="S79" s="34">
        <v>0</v>
      </c>
      <c r="T79" s="34">
        <v>0</v>
      </c>
      <c r="U79" s="19"/>
      <c r="V79" s="19"/>
      <c r="W79" s="19"/>
      <c r="X79" s="19"/>
      <c r="Y79" s="19"/>
      <c r="Z79" s="19"/>
      <c r="AA79" s="19"/>
      <c r="AB79" s="19"/>
      <c r="AC79" s="19"/>
      <c r="AD79" s="19" t="b">
        <f>OR(Glossary!$R67&gt;0,Glossary!$S67&gt;0,Glossary!$T67&gt;0)</f>
        <v>1</v>
      </c>
      <c r="AE79" s="19" t="b">
        <v>0</v>
      </c>
      <c r="AF79" s="19"/>
      <c r="AG79" s="19"/>
      <c r="AH79" s="19"/>
      <c r="AI79" s="19"/>
      <c r="AJ79" s="19"/>
      <c r="AK79" s="19"/>
      <c r="AL79" s="19" t="str">
        <f t="shared" si="2"/>
        <v/>
      </c>
      <c r="AM79" s="19"/>
      <c r="AN79" s="19"/>
      <c r="AO79" s="19" t="s">
        <v>566</v>
      </c>
      <c r="AP79" s="19"/>
      <c r="AQ79" s="19" t="s">
        <v>72</v>
      </c>
      <c r="AR79" s="19" t="b">
        <v>1</v>
      </c>
      <c r="AS79" s="19"/>
      <c r="AT79" s="19"/>
      <c r="AU79" s="19"/>
      <c r="AV79" s="19"/>
      <c r="AW79" s="19"/>
    </row>
    <row r="80" spans="1:49" ht="12.75" customHeight="1" x14ac:dyDescent="0.2">
      <c r="A80" s="19" t="s">
        <v>567</v>
      </c>
      <c r="B80" s="19" t="s">
        <v>568</v>
      </c>
      <c r="C80" s="34" t="s">
        <v>998</v>
      </c>
      <c r="D80" s="34" t="s">
        <v>569</v>
      </c>
      <c r="E80" s="19" t="s">
        <v>570</v>
      </c>
      <c r="F80" s="19" t="s">
        <v>571</v>
      </c>
      <c r="G80" s="19" t="s">
        <v>83</v>
      </c>
      <c r="H80" s="19" t="s">
        <v>87</v>
      </c>
      <c r="I80" s="19"/>
      <c r="J80" s="19" t="b">
        <v>1</v>
      </c>
      <c r="K80" s="19"/>
      <c r="L80" s="19"/>
      <c r="M80" s="19" t="b">
        <v>1</v>
      </c>
      <c r="N80" s="19" t="b">
        <v>1</v>
      </c>
      <c r="O80" s="19"/>
      <c r="P80" s="34">
        <v>13</v>
      </c>
      <c r="Q80" s="34">
        <v>0</v>
      </c>
      <c r="R80" s="34">
        <v>0</v>
      </c>
      <c r="S80" s="34">
        <v>0</v>
      </c>
      <c r="T80" s="34">
        <v>0</v>
      </c>
      <c r="U80" s="19"/>
      <c r="V80" s="19"/>
      <c r="W80" s="19"/>
      <c r="X80" s="19"/>
      <c r="Y80" s="19"/>
      <c r="Z80" s="19"/>
      <c r="AA80" s="19"/>
      <c r="AB80" s="19"/>
      <c r="AC80" s="19"/>
      <c r="AD80" s="19" t="b">
        <f>OR(Glossary!$R68&gt;0,Glossary!$S68&gt;0,Glossary!$T68&gt;0)</f>
        <v>1</v>
      </c>
      <c r="AE80" s="19" t="b">
        <v>0</v>
      </c>
      <c r="AF80" s="19"/>
      <c r="AG80" s="19"/>
      <c r="AH80" s="19"/>
      <c r="AI80" s="19"/>
      <c r="AJ80" s="19"/>
      <c r="AK80" s="19"/>
      <c r="AL80" s="19" t="str">
        <f t="shared" si="2"/>
        <v/>
      </c>
      <c r="AM80" s="19"/>
      <c r="AN80" s="19"/>
      <c r="AO80" s="19" t="s">
        <v>572</v>
      </c>
      <c r="AP80" s="19" t="s">
        <v>573</v>
      </c>
      <c r="AQ80" s="19" t="s">
        <v>72</v>
      </c>
      <c r="AR80" s="19" t="b">
        <v>1</v>
      </c>
      <c r="AS80" s="19"/>
      <c r="AT80" s="19"/>
      <c r="AU80" s="19" t="b">
        <v>1</v>
      </c>
      <c r="AV80" s="19" t="b">
        <v>1</v>
      </c>
      <c r="AW80" s="19"/>
    </row>
    <row r="81" spans="1:49" ht="12.75" customHeight="1" x14ac:dyDescent="0.2">
      <c r="A81" s="19" t="s">
        <v>574</v>
      </c>
      <c r="B81" s="19" t="s">
        <v>575</v>
      </c>
      <c r="C81" s="34" t="s">
        <v>1036</v>
      </c>
      <c r="D81" s="34"/>
      <c r="E81" s="19" t="s">
        <v>576</v>
      </c>
      <c r="F81" s="21" t="s">
        <v>577</v>
      </c>
      <c r="G81" s="19" t="s">
        <v>153</v>
      </c>
      <c r="H81" s="19" t="s">
        <v>244</v>
      </c>
      <c r="I81" s="19" t="s">
        <v>245</v>
      </c>
      <c r="J81" s="19"/>
      <c r="K81" s="19"/>
      <c r="L81" s="19"/>
      <c r="M81" s="19"/>
      <c r="N81" s="19"/>
      <c r="O81" s="19"/>
      <c r="P81" s="34">
        <v>0</v>
      </c>
      <c r="Q81" s="34">
        <v>0</v>
      </c>
      <c r="R81" s="34">
        <v>0</v>
      </c>
      <c r="S81" s="34">
        <v>0</v>
      </c>
      <c r="T81" s="34">
        <v>0</v>
      </c>
      <c r="U81" s="19"/>
      <c r="V81" s="19"/>
      <c r="W81" s="19"/>
      <c r="X81" s="19"/>
      <c r="Y81" s="19"/>
      <c r="Z81" s="19"/>
      <c r="AA81" s="19"/>
      <c r="AB81" s="19"/>
      <c r="AC81" s="19"/>
      <c r="AD81" s="19" t="b">
        <v>1</v>
      </c>
      <c r="AE81" s="19" t="s">
        <v>156</v>
      </c>
      <c r="AF81" s="19"/>
      <c r="AG81" s="19"/>
      <c r="AH81" s="19"/>
      <c r="AI81" s="19">
        <v>2</v>
      </c>
      <c r="AJ81" s="19"/>
      <c r="AK81" s="19"/>
      <c r="AL81" s="19" t="str">
        <f t="shared" si="2"/>
        <v/>
      </c>
      <c r="AM81" s="19"/>
      <c r="AN81" s="19"/>
      <c r="AO81" s="19" t="s">
        <v>578</v>
      </c>
      <c r="AP81" s="19" t="s">
        <v>579</v>
      </c>
      <c r="AQ81" s="19"/>
      <c r="AR81" s="19"/>
      <c r="AS81" s="19"/>
      <c r="AT81" s="19"/>
      <c r="AU81" s="19" t="b">
        <v>1</v>
      </c>
      <c r="AV81" s="19"/>
      <c r="AW81" s="19" t="b">
        <v>1</v>
      </c>
    </row>
    <row r="82" spans="1:49" ht="12.75" customHeight="1" x14ac:dyDescent="0.2">
      <c r="A82" s="19" t="s">
        <v>580</v>
      </c>
      <c r="B82" s="19" t="s">
        <v>580</v>
      </c>
      <c r="C82" s="34" t="s">
        <v>999</v>
      </c>
      <c r="D82" s="34" t="s">
        <v>581</v>
      </c>
      <c r="E82" s="19" t="s">
        <v>582</v>
      </c>
      <c r="F82" s="19" t="s">
        <v>583</v>
      </c>
      <c r="G82" s="19" t="s">
        <v>225</v>
      </c>
      <c r="H82" s="19" t="s">
        <v>226</v>
      </c>
      <c r="I82" s="19" t="s">
        <v>258</v>
      </c>
      <c r="J82" s="19"/>
      <c r="K82" s="19"/>
      <c r="L82" s="19"/>
      <c r="M82" s="19"/>
      <c r="N82" s="19"/>
      <c r="O82" s="19"/>
      <c r="P82" s="34">
        <v>2</v>
      </c>
      <c r="Q82" s="34">
        <v>0</v>
      </c>
      <c r="R82" s="34">
        <v>3</v>
      </c>
      <c r="S82" s="34">
        <v>3</v>
      </c>
      <c r="T82" s="34">
        <v>0</v>
      </c>
      <c r="U82" s="19"/>
      <c r="V82" s="19"/>
      <c r="W82" s="19"/>
      <c r="X82" s="19"/>
      <c r="Y82" s="19"/>
      <c r="Z82" s="19"/>
      <c r="AA82" s="19"/>
      <c r="AB82" s="19"/>
      <c r="AC82" s="19"/>
      <c r="AD82" s="19" t="b">
        <f>OR(Glossary!$R69&gt;0,Glossary!$S69&gt;0,Glossary!$T69&gt;0)</f>
        <v>1</v>
      </c>
      <c r="AE82" s="19" t="b">
        <v>1</v>
      </c>
      <c r="AF82" s="19"/>
      <c r="AG82" s="19"/>
      <c r="AH82" s="19"/>
      <c r="AI82" s="19"/>
      <c r="AJ82" s="19"/>
      <c r="AK82" s="19"/>
      <c r="AL82" s="19" t="str">
        <f t="shared" si="2"/>
        <v/>
      </c>
      <c r="AM82" s="19" t="b">
        <v>1</v>
      </c>
      <c r="AN82" s="19"/>
      <c r="AO82" s="19" t="s">
        <v>584</v>
      </c>
      <c r="AP82" s="19"/>
      <c r="AQ82" s="19"/>
      <c r="AR82" s="19" t="b">
        <v>1</v>
      </c>
      <c r="AS82" s="19"/>
      <c r="AT82" s="19"/>
      <c r="AU82" s="19"/>
      <c r="AV82" s="19"/>
      <c r="AW82" s="19"/>
    </row>
    <row r="83" spans="1:49" ht="12.75" customHeight="1" x14ac:dyDescent="0.2">
      <c r="A83" s="19" t="s">
        <v>585</v>
      </c>
      <c r="B83" s="19" t="s">
        <v>586</v>
      </c>
      <c r="C83" s="34" t="s">
        <v>1000</v>
      </c>
      <c r="D83" s="34" t="s">
        <v>587</v>
      </c>
      <c r="E83" s="19" t="s">
        <v>588</v>
      </c>
      <c r="F83" s="19" t="s">
        <v>589</v>
      </c>
      <c r="G83" s="19" t="s">
        <v>225</v>
      </c>
      <c r="H83" s="19" t="s">
        <v>330</v>
      </c>
      <c r="I83" s="19" t="s">
        <v>331</v>
      </c>
      <c r="J83" s="19"/>
      <c r="K83" s="19"/>
      <c r="L83" s="19"/>
      <c r="M83" s="19"/>
      <c r="N83" s="19"/>
      <c r="O83" s="19" t="b">
        <v>1</v>
      </c>
      <c r="P83" s="34">
        <v>10</v>
      </c>
      <c r="Q83" s="34">
        <v>0</v>
      </c>
      <c r="R83" s="34">
        <v>0</v>
      </c>
      <c r="S83" s="34">
        <v>7</v>
      </c>
      <c r="T83" s="34">
        <v>0</v>
      </c>
      <c r="U83" s="19"/>
      <c r="V83" s="19"/>
      <c r="W83" s="19"/>
      <c r="X83" s="19"/>
      <c r="Y83" s="19"/>
      <c r="Z83" s="19"/>
      <c r="AA83" s="19"/>
      <c r="AB83" s="19"/>
      <c r="AC83" s="19"/>
      <c r="AD83" s="19" t="b">
        <f>OR(Glossary!$R70&gt;0,Glossary!$S70&gt;0,Glossary!$T70&gt;0)</f>
        <v>1</v>
      </c>
      <c r="AE83" s="19" t="b">
        <v>0</v>
      </c>
      <c r="AF83" s="19">
        <v>0</v>
      </c>
      <c r="AG83" s="19">
        <v>4.0000000000000002E-4</v>
      </c>
      <c r="AH83" s="19"/>
      <c r="AI83" s="19"/>
      <c r="AJ83" s="19"/>
      <c r="AK83" s="19">
        <v>4.0000000000000002E-4</v>
      </c>
      <c r="AL83" s="19" t="b">
        <f t="shared" si="2"/>
        <v>0</v>
      </c>
      <c r="AM83" s="19"/>
      <c r="AN83" s="19" t="s">
        <v>72</v>
      </c>
      <c r="AO83" s="19" t="s">
        <v>590</v>
      </c>
      <c r="AP83" s="19"/>
      <c r="AQ83" s="19"/>
      <c r="AR83" s="19" t="b">
        <v>1</v>
      </c>
      <c r="AS83" s="19"/>
      <c r="AT83" s="19"/>
      <c r="AU83" s="19"/>
      <c r="AV83" s="19"/>
      <c r="AW83" s="19"/>
    </row>
    <row r="84" spans="1:49" ht="12.75" customHeight="1" x14ac:dyDescent="0.2">
      <c r="A84" s="19" t="s">
        <v>591</v>
      </c>
      <c r="B84" s="19" t="s">
        <v>592</v>
      </c>
      <c r="C84" s="34" t="s">
        <v>1001</v>
      </c>
      <c r="D84" s="34" t="s">
        <v>593</v>
      </c>
      <c r="E84" s="19" t="s">
        <v>594</v>
      </c>
      <c r="F84" s="19" t="s">
        <v>595</v>
      </c>
      <c r="G84" s="19" t="s">
        <v>225</v>
      </c>
      <c r="H84" s="19" t="s">
        <v>330</v>
      </c>
      <c r="I84" s="19" t="s">
        <v>331</v>
      </c>
      <c r="J84" s="19"/>
      <c r="K84" s="19"/>
      <c r="L84" s="19"/>
      <c r="M84" s="19"/>
      <c r="N84" s="19"/>
      <c r="O84" s="19"/>
      <c r="P84" s="34">
        <v>10</v>
      </c>
      <c r="Q84" s="34">
        <v>0</v>
      </c>
      <c r="R84" s="34">
        <v>0</v>
      </c>
      <c r="S84" s="34">
        <v>7</v>
      </c>
      <c r="T84" s="34">
        <v>0</v>
      </c>
      <c r="U84" s="19"/>
      <c r="V84" s="19"/>
      <c r="W84" s="19"/>
      <c r="X84" s="19"/>
      <c r="Y84" s="19"/>
      <c r="Z84" s="19"/>
      <c r="AA84" s="19"/>
      <c r="AB84" s="19">
        <v>1</v>
      </c>
      <c r="AC84" s="19"/>
      <c r="AD84" s="19" t="b">
        <f>OR(Glossary!$R71&gt;0,Glossary!$S71&gt;0,Glossary!$T71&gt;0)</f>
        <v>1</v>
      </c>
      <c r="AE84" s="19" t="b">
        <v>0</v>
      </c>
      <c r="AF84" s="19">
        <v>0</v>
      </c>
      <c r="AG84" s="19">
        <v>2.0000000000000001E-4</v>
      </c>
      <c r="AH84" s="19"/>
      <c r="AI84" s="19"/>
      <c r="AJ84" s="19"/>
      <c r="AK84" s="19">
        <v>2.0000000000000001E-4</v>
      </c>
      <c r="AL84" s="19" t="b">
        <f t="shared" si="2"/>
        <v>0</v>
      </c>
      <c r="AM84" s="19"/>
      <c r="AN84" s="19"/>
      <c r="AO84" s="19" t="s">
        <v>596</v>
      </c>
      <c r="AP84" s="19"/>
      <c r="AQ84" s="19"/>
      <c r="AR84" s="19" t="b">
        <v>1</v>
      </c>
      <c r="AS84" s="19"/>
      <c r="AT84" s="19"/>
      <c r="AU84" s="19"/>
      <c r="AV84" s="19"/>
      <c r="AW84" s="19"/>
    </row>
    <row r="85" spans="1:49" ht="12.75" customHeight="1" x14ac:dyDescent="0.2">
      <c r="A85" s="19" t="s">
        <v>597</v>
      </c>
      <c r="B85" s="19" t="s">
        <v>598</v>
      </c>
      <c r="C85" s="34" t="s">
        <v>526</v>
      </c>
      <c r="D85" s="34"/>
      <c r="E85" s="19"/>
      <c r="F85" s="19"/>
      <c r="G85" s="19" t="s">
        <v>407</v>
      </c>
      <c r="H85" s="19"/>
      <c r="I85" s="19"/>
      <c r="J85" s="19"/>
      <c r="K85" s="19"/>
      <c r="L85" s="19"/>
      <c r="M85" s="19"/>
      <c r="N85" s="19"/>
      <c r="O85" s="19"/>
      <c r="P85" s="34" t="s">
        <v>526</v>
      </c>
      <c r="Q85" s="34" t="s">
        <v>526</v>
      </c>
      <c r="R85" s="34" t="s">
        <v>526</v>
      </c>
      <c r="S85" s="34" t="s">
        <v>526</v>
      </c>
      <c r="T85" s="34" t="s">
        <v>526</v>
      </c>
      <c r="U85" s="19"/>
      <c r="V85" s="19"/>
      <c r="W85" s="19"/>
      <c r="X85" s="19"/>
      <c r="Y85" s="19"/>
      <c r="Z85" s="19"/>
      <c r="AA85" s="19"/>
      <c r="AB85" s="19"/>
      <c r="AC85" s="19"/>
      <c r="AD85" s="19" t="s">
        <v>156</v>
      </c>
      <c r="AE85" s="19" t="s">
        <v>156</v>
      </c>
      <c r="AF85" s="19"/>
      <c r="AG85" s="19"/>
      <c r="AH85" s="19"/>
      <c r="AI85" s="19"/>
      <c r="AJ85" s="19"/>
      <c r="AK85" s="19"/>
      <c r="AL85" s="19" t="str">
        <f t="shared" si="2"/>
        <v/>
      </c>
      <c r="AM85" s="19"/>
      <c r="AN85" s="19"/>
      <c r="AO85" s="19" t="s">
        <v>599</v>
      </c>
      <c r="AP85" s="19"/>
      <c r="AQ85" s="19"/>
      <c r="AR85" s="19"/>
      <c r="AS85" s="19"/>
      <c r="AT85" s="19"/>
      <c r="AU85" s="19" t="b">
        <v>1</v>
      </c>
      <c r="AV85" s="19"/>
      <c r="AW85" s="19" t="b">
        <v>1</v>
      </c>
    </row>
    <row r="86" spans="1:49" ht="12.75" customHeight="1" x14ac:dyDescent="0.2">
      <c r="A86" s="19" t="s">
        <v>600</v>
      </c>
      <c r="B86" s="19" t="s">
        <v>601</v>
      </c>
      <c r="C86" s="34" t="s">
        <v>1002</v>
      </c>
      <c r="D86" s="34" t="s">
        <v>602</v>
      </c>
      <c r="E86" s="19" t="s">
        <v>603</v>
      </c>
      <c r="F86" s="19" t="s">
        <v>604</v>
      </c>
      <c r="G86" s="19" t="s">
        <v>225</v>
      </c>
      <c r="H86" s="19" t="s">
        <v>330</v>
      </c>
      <c r="I86" s="19" t="s">
        <v>258</v>
      </c>
      <c r="J86" s="19"/>
      <c r="K86" s="19"/>
      <c r="L86" s="19"/>
      <c r="M86" s="19"/>
      <c r="N86" s="19"/>
      <c r="O86" s="19"/>
      <c r="P86" s="34">
        <v>4</v>
      </c>
      <c r="Q86" s="34">
        <v>0</v>
      </c>
      <c r="R86" s="34">
        <v>0</v>
      </c>
      <c r="S86" s="34">
        <v>6</v>
      </c>
      <c r="T86" s="34">
        <v>0</v>
      </c>
      <c r="U86" s="19"/>
      <c r="V86" s="19"/>
      <c r="W86" s="19"/>
      <c r="X86" s="19"/>
      <c r="Y86" s="19"/>
      <c r="Z86" s="19"/>
      <c r="AA86" s="19"/>
      <c r="AB86" s="19"/>
      <c r="AC86" s="19"/>
      <c r="AD86" s="19" t="b">
        <f>OR(Glossary!$R72&gt;0,Glossary!$S72&gt;0,Glossary!$T72&gt;0)</f>
        <v>1</v>
      </c>
      <c r="AE86" s="19" t="b">
        <v>0</v>
      </c>
      <c r="AF86" s="19"/>
      <c r="AG86" s="19"/>
      <c r="AH86" s="19"/>
      <c r="AI86" s="19"/>
      <c r="AJ86" s="19"/>
      <c r="AK86" s="19"/>
      <c r="AL86" s="19" t="str">
        <f t="shared" si="2"/>
        <v/>
      </c>
      <c r="AM86" s="19"/>
      <c r="AN86" s="19" t="s">
        <v>605</v>
      </c>
      <c r="AO86" s="19" t="s">
        <v>606</v>
      </c>
      <c r="AP86" s="19"/>
      <c r="AQ86" s="19"/>
      <c r="AR86" s="19" t="b">
        <v>1</v>
      </c>
      <c r="AS86" s="19"/>
      <c r="AT86" s="19"/>
      <c r="AU86" s="19"/>
      <c r="AV86" s="19"/>
      <c r="AW86" s="19"/>
    </row>
    <row r="87" spans="1:49" ht="12.75" customHeight="1" x14ac:dyDescent="0.2">
      <c r="A87" s="19" t="s">
        <v>607</v>
      </c>
      <c r="B87" s="19" t="s">
        <v>608</v>
      </c>
      <c r="C87" s="34" t="s">
        <v>526</v>
      </c>
      <c r="D87" s="34" t="s">
        <v>609</v>
      </c>
      <c r="E87" s="19" t="s">
        <v>610</v>
      </c>
      <c r="F87" s="19" t="s">
        <v>611</v>
      </c>
      <c r="G87" s="19" t="s">
        <v>225</v>
      </c>
      <c r="H87" s="19" t="s">
        <v>226</v>
      </c>
      <c r="I87" s="19" t="s">
        <v>331</v>
      </c>
      <c r="J87" s="19"/>
      <c r="K87" s="19"/>
      <c r="L87" s="19"/>
      <c r="M87" s="19"/>
      <c r="N87" s="19"/>
      <c r="O87" s="19"/>
      <c r="P87" s="34">
        <v>6</v>
      </c>
      <c r="Q87" s="34">
        <v>0</v>
      </c>
      <c r="R87" s="34">
        <v>0</v>
      </c>
      <c r="S87" s="34">
        <v>6</v>
      </c>
      <c r="T87" s="34">
        <v>0</v>
      </c>
      <c r="U87" s="19"/>
      <c r="V87" s="19"/>
      <c r="W87" s="19"/>
      <c r="X87" s="19"/>
      <c r="Y87" s="19"/>
      <c r="Z87" s="19"/>
      <c r="AA87" s="19"/>
      <c r="AB87" s="19"/>
      <c r="AC87" s="19"/>
      <c r="AD87" s="19" t="b">
        <f>OR(Glossary!$R73&gt;0,Glossary!$S73&gt;0,Glossary!$T73&gt;0)</f>
        <v>1</v>
      </c>
      <c r="AE87" s="19" t="b">
        <v>1</v>
      </c>
      <c r="AF87" s="19">
        <v>2.0000000000000001E-4</v>
      </c>
      <c r="AG87" s="19">
        <v>2.0000000000000001E-4</v>
      </c>
      <c r="AH87" s="19"/>
      <c r="AI87" s="19"/>
      <c r="AJ87" s="19"/>
      <c r="AK87" s="19">
        <v>2.0000000000000001E-4</v>
      </c>
      <c r="AL87" s="19" t="b">
        <f t="shared" si="2"/>
        <v>0</v>
      </c>
      <c r="AM87" s="19"/>
      <c r="AN87" s="19" t="s">
        <v>72</v>
      </c>
      <c r="AO87" s="19" t="s">
        <v>612</v>
      </c>
      <c r="AP87" s="19"/>
      <c r="AQ87" s="19"/>
      <c r="AR87" s="19" t="b">
        <v>1</v>
      </c>
      <c r="AS87" s="19"/>
      <c r="AT87" s="19"/>
      <c r="AU87" s="19"/>
      <c r="AV87" s="19"/>
      <c r="AW87" s="19"/>
    </row>
    <row r="88" spans="1:49" ht="12.75" customHeight="1" x14ac:dyDescent="0.2">
      <c r="A88" s="19" t="s">
        <v>613</v>
      </c>
      <c r="B88" s="19" t="s">
        <v>614</v>
      </c>
      <c r="C88" s="34" t="s">
        <v>1003</v>
      </c>
      <c r="D88" s="34" t="s">
        <v>615</v>
      </c>
      <c r="E88" s="19" t="s">
        <v>616</v>
      </c>
      <c r="F88" s="19" t="s">
        <v>617</v>
      </c>
      <c r="G88" s="19" t="s">
        <v>225</v>
      </c>
      <c r="H88" s="19" t="s">
        <v>330</v>
      </c>
      <c r="I88" s="19" t="s">
        <v>331</v>
      </c>
      <c r="J88" s="19"/>
      <c r="K88" s="19"/>
      <c r="L88" s="19"/>
      <c r="M88" s="19"/>
      <c r="N88" s="19"/>
      <c r="O88" s="19" t="s">
        <v>509</v>
      </c>
      <c r="P88" s="34">
        <v>5</v>
      </c>
      <c r="Q88" s="34">
        <v>0</v>
      </c>
      <c r="R88" s="34">
        <v>0</v>
      </c>
      <c r="S88" s="34">
        <v>6</v>
      </c>
      <c r="T88" s="34">
        <v>0</v>
      </c>
      <c r="U88" s="19"/>
      <c r="V88" s="19"/>
      <c r="W88" s="19"/>
      <c r="X88" s="19"/>
      <c r="Y88" s="19"/>
      <c r="Z88" s="19"/>
      <c r="AA88" s="19"/>
      <c r="AB88" s="19"/>
      <c r="AC88" s="19"/>
      <c r="AD88" s="19" t="b">
        <f>OR(Glossary!$R74&gt;0,Glossary!$S74&gt;0,Glossary!$T74&gt;0)</f>
        <v>1</v>
      </c>
      <c r="AE88" s="19" t="b">
        <v>0</v>
      </c>
      <c r="AF88" s="19">
        <v>0.05</v>
      </c>
      <c r="AG88" s="19">
        <v>0.05</v>
      </c>
      <c r="AH88" s="19"/>
      <c r="AI88" s="19"/>
      <c r="AJ88" s="19"/>
      <c r="AK88" s="19">
        <v>0.05</v>
      </c>
      <c r="AL88" s="19" t="b">
        <f t="shared" si="2"/>
        <v>0</v>
      </c>
      <c r="AM88" s="19"/>
      <c r="AN88" s="19"/>
      <c r="AO88" s="19" t="s">
        <v>618</v>
      </c>
      <c r="AP88" s="19"/>
      <c r="AQ88" s="19" t="s">
        <v>1051</v>
      </c>
      <c r="AR88" s="19" t="b">
        <v>1</v>
      </c>
      <c r="AS88" s="19"/>
      <c r="AT88" s="19"/>
      <c r="AU88" s="19"/>
      <c r="AV88" s="19"/>
      <c r="AW88" s="19"/>
    </row>
    <row r="89" spans="1:49" ht="12.75" customHeight="1" x14ac:dyDescent="0.2">
      <c r="A89" s="19" t="s">
        <v>619</v>
      </c>
      <c r="B89" s="19" t="s">
        <v>620</v>
      </c>
      <c r="C89" s="34" t="s">
        <v>1004</v>
      </c>
      <c r="D89" s="34" t="s">
        <v>621</v>
      </c>
      <c r="E89" s="19" t="s">
        <v>622</v>
      </c>
      <c r="F89" s="19" t="s">
        <v>623</v>
      </c>
      <c r="G89" s="19" t="s">
        <v>225</v>
      </c>
      <c r="H89" s="19" t="s">
        <v>226</v>
      </c>
      <c r="I89" s="19" t="s">
        <v>258</v>
      </c>
      <c r="J89" s="19"/>
      <c r="K89" s="19"/>
      <c r="L89" s="19"/>
      <c r="M89" s="19"/>
      <c r="N89" s="19"/>
      <c r="O89" s="19"/>
      <c r="P89" s="34">
        <v>6</v>
      </c>
      <c r="Q89" s="34">
        <v>0</v>
      </c>
      <c r="R89" s="34">
        <v>0</v>
      </c>
      <c r="S89" s="34">
        <v>0</v>
      </c>
      <c r="T89" s="34">
        <v>0</v>
      </c>
      <c r="U89" s="19"/>
      <c r="V89" s="19"/>
      <c r="W89" s="19"/>
      <c r="X89" s="19"/>
      <c r="Y89" s="19">
        <v>1</v>
      </c>
      <c r="Z89" s="19"/>
      <c r="AA89" s="19"/>
      <c r="AB89" s="19"/>
      <c r="AC89" s="19"/>
      <c r="AD89" s="19" t="b">
        <f>OR(Glossary!$R75&gt;0,Glossary!$S75&gt;0,Glossary!$T75&gt;0)</f>
        <v>0</v>
      </c>
      <c r="AE89" s="19" t="b">
        <v>0</v>
      </c>
      <c r="AF89" s="19"/>
      <c r="AG89" s="19"/>
      <c r="AH89" s="19"/>
      <c r="AI89" s="19"/>
      <c r="AJ89" s="19"/>
      <c r="AK89" s="19"/>
      <c r="AL89" s="19" t="str">
        <f t="shared" si="2"/>
        <v/>
      </c>
      <c r="AM89" s="19"/>
      <c r="AN89" s="19"/>
      <c r="AO89" s="19" t="s">
        <v>624</v>
      </c>
      <c r="AP89" s="19"/>
      <c r="AQ89" s="19"/>
      <c r="AR89" s="19" t="b">
        <v>1</v>
      </c>
      <c r="AS89" s="19"/>
      <c r="AT89" s="19"/>
      <c r="AU89" s="19"/>
      <c r="AV89" s="19"/>
      <c r="AW89" s="19"/>
    </row>
    <row r="90" spans="1:49" ht="12.75" customHeight="1" x14ac:dyDescent="0.2">
      <c r="A90" s="19" t="s">
        <v>625</v>
      </c>
      <c r="B90" s="19" t="s">
        <v>626</v>
      </c>
      <c r="C90" s="34" t="s">
        <v>962</v>
      </c>
      <c r="D90" s="34" t="s">
        <v>627</v>
      </c>
      <c r="E90" s="19" t="s">
        <v>628</v>
      </c>
      <c r="F90" s="19" t="s">
        <v>629</v>
      </c>
      <c r="G90" s="19" t="s">
        <v>83</v>
      </c>
      <c r="H90" s="19" t="s">
        <v>87</v>
      </c>
      <c r="I90" s="19"/>
      <c r="J90" s="19" t="b">
        <v>1</v>
      </c>
      <c r="K90" s="19"/>
      <c r="L90" s="19"/>
      <c r="M90" s="19"/>
      <c r="N90" s="19" t="b">
        <v>1</v>
      </c>
      <c r="O90" s="19"/>
      <c r="P90" s="34">
        <v>22</v>
      </c>
      <c r="Q90" s="34">
        <v>0</v>
      </c>
      <c r="R90" s="34">
        <v>0</v>
      </c>
      <c r="S90" s="34">
        <v>0</v>
      </c>
      <c r="T90" s="34">
        <v>0</v>
      </c>
      <c r="U90" s="19"/>
      <c r="V90" s="19"/>
      <c r="W90" s="19"/>
      <c r="X90" s="19"/>
      <c r="Y90" s="19"/>
      <c r="Z90" s="19"/>
      <c r="AA90" s="19"/>
      <c r="AB90" s="19"/>
      <c r="AC90" s="19"/>
      <c r="AD90" s="19" t="b">
        <f>OR(Glossary!$R76&gt;0,Glossary!$S76&gt;0,Glossary!$T76&gt;0)</f>
        <v>1</v>
      </c>
      <c r="AE90" s="19" t="b">
        <v>0</v>
      </c>
      <c r="AF90" s="19"/>
      <c r="AG90" s="19"/>
      <c r="AH90" s="19"/>
      <c r="AI90" s="19"/>
      <c r="AJ90" s="19"/>
      <c r="AK90" s="19"/>
      <c r="AL90" s="19" t="str">
        <f t="shared" si="2"/>
        <v/>
      </c>
      <c r="AM90" s="19"/>
      <c r="AN90" s="19"/>
      <c r="AO90" s="19" t="s">
        <v>630</v>
      </c>
      <c r="AP90" s="19"/>
      <c r="AQ90" s="19" t="s">
        <v>72</v>
      </c>
      <c r="AR90" s="19" t="b">
        <v>1</v>
      </c>
      <c r="AS90" s="19"/>
      <c r="AT90" s="19"/>
      <c r="AU90" s="19" t="b">
        <v>1</v>
      </c>
      <c r="AV90" s="19" t="b">
        <v>1</v>
      </c>
      <c r="AW90" s="19"/>
    </row>
    <row r="91" spans="1:49" ht="12.75" customHeight="1" x14ac:dyDescent="0.2">
      <c r="A91" s="19" t="s">
        <v>631</v>
      </c>
      <c r="B91" s="19" t="s">
        <v>632</v>
      </c>
      <c r="C91" s="34" t="s">
        <v>1037</v>
      </c>
      <c r="D91" s="34"/>
      <c r="E91" s="19" t="s">
        <v>633</v>
      </c>
      <c r="F91" s="19" t="s">
        <v>634</v>
      </c>
      <c r="G91" s="19" t="s">
        <v>153</v>
      </c>
      <c r="H91" s="19" t="s">
        <v>173</v>
      </c>
      <c r="I91" s="19" t="s">
        <v>635</v>
      </c>
      <c r="J91" s="19"/>
      <c r="K91" s="19"/>
      <c r="L91" s="19"/>
      <c r="M91" s="19"/>
      <c r="N91" s="19"/>
      <c r="O91" s="19"/>
      <c r="P91" s="34">
        <v>0</v>
      </c>
      <c r="Q91" s="34">
        <v>0</v>
      </c>
      <c r="R91" s="34">
        <v>0</v>
      </c>
      <c r="S91" s="34">
        <v>0</v>
      </c>
      <c r="T91" s="34">
        <v>0</v>
      </c>
      <c r="U91" s="19"/>
      <c r="V91" s="19"/>
      <c r="W91" s="19"/>
      <c r="X91" s="19"/>
      <c r="Y91" s="19"/>
      <c r="Z91" s="19"/>
      <c r="AA91" s="19"/>
      <c r="AB91" s="19"/>
      <c r="AC91" s="19"/>
      <c r="AD91" s="19" t="b">
        <v>0</v>
      </c>
      <c r="AE91" s="19" t="s">
        <v>156</v>
      </c>
      <c r="AF91" s="19"/>
      <c r="AG91" s="19"/>
      <c r="AH91" s="19"/>
      <c r="AI91" s="19">
        <v>0.3</v>
      </c>
      <c r="AJ91" s="19"/>
      <c r="AK91" s="19"/>
      <c r="AL91" s="19" t="str">
        <f t="shared" si="2"/>
        <v/>
      </c>
      <c r="AM91" s="19"/>
      <c r="AN91" s="19"/>
      <c r="AO91" s="19" t="s">
        <v>636</v>
      </c>
      <c r="AP91" s="19"/>
      <c r="AQ91" s="19" t="s">
        <v>74</v>
      </c>
      <c r="AR91" s="19"/>
      <c r="AS91" s="19"/>
      <c r="AT91" s="19"/>
      <c r="AU91" s="19" t="b">
        <v>1</v>
      </c>
      <c r="AV91" s="19"/>
      <c r="AW91" s="19" t="b">
        <v>1</v>
      </c>
    </row>
    <row r="92" spans="1:49" ht="12.75" customHeight="1" x14ac:dyDescent="0.2">
      <c r="A92" s="19" t="s">
        <v>637</v>
      </c>
      <c r="B92" s="19" t="s">
        <v>638</v>
      </c>
      <c r="C92" s="34" t="s">
        <v>973</v>
      </c>
      <c r="D92" s="34" t="s">
        <v>639</v>
      </c>
      <c r="E92" s="19" t="s">
        <v>640</v>
      </c>
      <c r="F92" s="19" t="s">
        <v>641</v>
      </c>
      <c r="G92" s="19" t="s">
        <v>83</v>
      </c>
      <c r="H92" s="19" t="s">
        <v>141</v>
      </c>
      <c r="I92" s="19" t="s">
        <v>289</v>
      </c>
      <c r="J92" s="19" t="b">
        <v>1</v>
      </c>
      <c r="K92" s="19"/>
      <c r="L92" s="19"/>
      <c r="M92" s="19"/>
      <c r="N92" s="19"/>
      <c r="O92" s="19"/>
      <c r="P92" s="34">
        <v>10</v>
      </c>
      <c r="Q92" s="34">
        <v>0</v>
      </c>
      <c r="R92" s="34">
        <v>0</v>
      </c>
      <c r="S92" s="34">
        <v>0</v>
      </c>
      <c r="T92" s="34">
        <v>0</v>
      </c>
      <c r="U92" s="19"/>
      <c r="V92" s="19"/>
      <c r="W92" s="19"/>
      <c r="X92" s="19"/>
      <c r="Y92" s="19"/>
      <c r="Z92" s="19"/>
      <c r="AA92" s="19"/>
      <c r="AB92" s="19"/>
      <c r="AC92" s="19"/>
      <c r="AD92" s="19" t="b">
        <f>OR(Glossary!$R77&gt;0,Glossary!$S77&gt;0,Glossary!$T77&gt;0)</f>
        <v>0</v>
      </c>
      <c r="AE92" s="19" t="b">
        <v>0</v>
      </c>
      <c r="AF92" s="19"/>
      <c r="AG92" s="19"/>
      <c r="AH92" s="19"/>
      <c r="AI92" s="19"/>
      <c r="AJ92" s="19"/>
      <c r="AK92" s="19"/>
      <c r="AL92" s="19" t="str">
        <f t="shared" si="2"/>
        <v/>
      </c>
      <c r="AM92" s="19"/>
      <c r="AN92" s="19"/>
      <c r="AO92" s="19" t="s">
        <v>642</v>
      </c>
      <c r="AP92" s="19"/>
      <c r="AQ92" s="19"/>
      <c r="AR92" s="19" t="b">
        <v>1</v>
      </c>
      <c r="AS92" s="19"/>
      <c r="AT92" s="19"/>
      <c r="AU92" s="19"/>
      <c r="AV92" s="19"/>
      <c r="AW92" s="19"/>
    </row>
    <row r="93" spans="1:49" ht="12.75" customHeight="1" x14ac:dyDescent="0.2">
      <c r="A93" s="19" t="s">
        <v>643</v>
      </c>
      <c r="B93" s="19" t="s">
        <v>644</v>
      </c>
      <c r="C93" s="34" t="s">
        <v>1005</v>
      </c>
      <c r="D93" s="34"/>
      <c r="E93" s="19" t="s">
        <v>645</v>
      </c>
      <c r="F93" s="19" t="s">
        <v>646</v>
      </c>
      <c r="G93" s="19" t="s">
        <v>153</v>
      </c>
      <c r="H93" s="19" t="s">
        <v>173</v>
      </c>
      <c r="I93" s="19" t="s">
        <v>647</v>
      </c>
      <c r="J93" s="19"/>
      <c r="K93" s="19"/>
      <c r="L93" s="19"/>
      <c r="M93" s="19" t="b">
        <v>1</v>
      </c>
      <c r="N93" s="19"/>
      <c r="O93" s="19"/>
      <c r="P93" s="34">
        <v>0</v>
      </c>
      <c r="Q93" s="34">
        <v>0</v>
      </c>
      <c r="R93" s="34">
        <v>0</v>
      </c>
      <c r="S93" s="34">
        <v>0</v>
      </c>
      <c r="T93" s="34">
        <v>0</v>
      </c>
      <c r="U93" s="19"/>
      <c r="V93" s="19"/>
      <c r="W93" s="19"/>
      <c r="X93" s="19"/>
      <c r="Y93" s="19"/>
      <c r="Z93" s="19"/>
      <c r="AA93" s="19"/>
      <c r="AB93" s="19"/>
      <c r="AC93" s="19"/>
      <c r="AD93" s="19" t="b">
        <f>OR(Glossary!$R78&gt;0,Glossary!$S78&gt;0,Glossary!$T78&gt;0)</f>
        <v>0</v>
      </c>
      <c r="AE93" s="19" t="s">
        <v>156</v>
      </c>
      <c r="AF93" s="19">
        <v>0</v>
      </c>
      <c r="AG93" s="19"/>
      <c r="AH93" s="19" t="s">
        <v>648</v>
      </c>
      <c r="AI93" s="19"/>
      <c r="AJ93" s="19"/>
      <c r="AK93" s="19" t="s">
        <v>649</v>
      </c>
      <c r="AL93" s="19" t="b">
        <f t="shared" si="2"/>
        <v>0</v>
      </c>
      <c r="AM93" s="19"/>
      <c r="AN93" s="19"/>
      <c r="AO93" s="19" t="s">
        <v>650</v>
      </c>
      <c r="AP93" s="19"/>
      <c r="AQ93" s="19" t="s">
        <v>73</v>
      </c>
      <c r="AR93" s="19" t="b">
        <v>1</v>
      </c>
      <c r="AS93" s="19"/>
      <c r="AT93" s="19" t="b">
        <v>1</v>
      </c>
      <c r="AU93" s="19" t="b">
        <v>1</v>
      </c>
      <c r="AV93" s="19" t="b">
        <v>1</v>
      </c>
      <c r="AW93" s="19"/>
    </row>
    <row r="94" spans="1:49" ht="12.75" customHeight="1" x14ac:dyDescent="0.2">
      <c r="A94" s="19" t="s">
        <v>651</v>
      </c>
      <c r="B94" s="19" t="s">
        <v>652</v>
      </c>
      <c r="C94" s="34" t="s">
        <v>1038</v>
      </c>
      <c r="D94" s="34"/>
      <c r="E94" s="19" t="s">
        <v>653</v>
      </c>
      <c r="F94" s="21" t="s">
        <v>654</v>
      </c>
      <c r="G94" s="19" t="s">
        <v>153</v>
      </c>
      <c r="H94" s="19" t="s">
        <v>173</v>
      </c>
      <c r="I94" s="19" t="s">
        <v>174</v>
      </c>
      <c r="J94" s="19"/>
      <c r="K94" s="19"/>
      <c r="L94" s="19"/>
      <c r="M94" s="19"/>
      <c r="N94" s="19"/>
      <c r="O94" s="19"/>
      <c r="P94" s="34">
        <v>0</v>
      </c>
      <c r="Q94" s="34">
        <v>0</v>
      </c>
      <c r="R94" s="34">
        <v>0</v>
      </c>
      <c r="S94" s="34">
        <v>0</v>
      </c>
      <c r="T94" s="34">
        <v>0</v>
      </c>
      <c r="U94" s="19"/>
      <c r="V94" s="19"/>
      <c r="W94" s="19"/>
      <c r="X94" s="19"/>
      <c r="Y94" s="19"/>
      <c r="Z94" s="19"/>
      <c r="AA94" s="19"/>
      <c r="AB94" s="19"/>
      <c r="AC94" s="19"/>
      <c r="AD94" s="19" t="b">
        <v>0</v>
      </c>
      <c r="AE94" s="19" t="s">
        <v>156</v>
      </c>
      <c r="AF94" s="19"/>
      <c r="AG94" s="19"/>
      <c r="AH94" s="19"/>
      <c r="AI94" s="19"/>
      <c r="AJ94" s="19"/>
      <c r="AK94" s="19"/>
      <c r="AL94" s="19" t="str">
        <f t="shared" si="2"/>
        <v/>
      </c>
      <c r="AM94" s="19"/>
      <c r="AN94" s="19"/>
      <c r="AO94" s="19" t="s">
        <v>655</v>
      </c>
      <c r="AP94" s="19"/>
      <c r="AQ94" s="19" t="s">
        <v>74</v>
      </c>
      <c r="AR94" s="19"/>
      <c r="AS94" s="19"/>
      <c r="AT94" s="19"/>
      <c r="AU94" s="19" t="b">
        <v>1</v>
      </c>
      <c r="AV94" s="19"/>
      <c r="AW94" s="19" t="b">
        <v>1</v>
      </c>
    </row>
    <row r="95" spans="1:49" ht="12.75" customHeight="1" x14ac:dyDescent="0.2">
      <c r="A95" s="19" t="s">
        <v>656</v>
      </c>
      <c r="B95" s="19" t="s">
        <v>657</v>
      </c>
      <c r="C95" s="34" t="s">
        <v>1039</v>
      </c>
      <c r="D95" s="34"/>
      <c r="E95" s="19"/>
      <c r="F95" s="19"/>
      <c r="G95" s="19" t="s">
        <v>153</v>
      </c>
      <c r="H95" s="19" t="s">
        <v>173</v>
      </c>
      <c r="I95" s="19" t="s">
        <v>658</v>
      </c>
      <c r="J95" s="19"/>
      <c r="K95" s="19"/>
      <c r="L95" s="19"/>
      <c r="M95" s="19"/>
      <c r="N95" s="19"/>
      <c r="O95" s="19"/>
      <c r="P95" s="34">
        <v>0</v>
      </c>
      <c r="Q95" s="34">
        <v>0</v>
      </c>
      <c r="R95" s="34">
        <v>0</v>
      </c>
      <c r="S95" s="34">
        <v>0</v>
      </c>
      <c r="T95" s="34">
        <v>0</v>
      </c>
      <c r="U95" s="19"/>
      <c r="V95" s="19"/>
      <c r="W95" s="19"/>
      <c r="X95" s="19"/>
      <c r="Y95" s="19"/>
      <c r="Z95" s="19"/>
      <c r="AA95" s="19"/>
      <c r="AB95" s="19"/>
      <c r="AC95" s="19"/>
      <c r="AD95" s="19" t="b">
        <v>0</v>
      </c>
      <c r="AE95" s="19" t="s">
        <v>156</v>
      </c>
      <c r="AF95" s="19"/>
      <c r="AG95" s="19"/>
      <c r="AH95" s="19"/>
      <c r="AI95" s="19">
        <v>0.05</v>
      </c>
      <c r="AJ95" s="19"/>
      <c r="AK95" s="19"/>
      <c r="AL95" s="19" t="str">
        <f t="shared" si="2"/>
        <v/>
      </c>
      <c r="AM95" s="19"/>
      <c r="AN95" s="19"/>
      <c r="AO95" s="19" t="s">
        <v>659</v>
      </c>
      <c r="AP95" s="19"/>
      <c r="AQ95" s="19" t="s">
        <v>74</v>
      </c>
      <c r="AR95" s="19"/>
      <c r="AS95" s="19"/>
      <c r="AT95" s="19"/>
      <c r="AU95" s="19" t="b">
        <v>1</v>
      </c>
      <c r="AV95" s="19"/>
      <c r="AW95" s="19" t="b">
        <v>1</v>
      </c>
    </row>
    <row r="96" spans="1:49" ht="12.75" customHeight="1" x14ac:dyDescent="0.2">
      <c r="A96" s="19" t="s">
        <v>660</v>
      </c>
      <c r="B96" s="19" t="s">
        <v>661</v>
      </c>
      <c r="C96" s="34" t="s">
        <v>1006</v>
      </c>
      <c r="D96" s="34"/>
      <c r="E96" s="19" t="s">
        <v>662</v>
      </c>
      <c r="F96" s="19" t="s">
        <v>663</v>
      </c>
      <c r="G96" s="19" t="s">
        <v>153</v>
      </c>
      <c r="H96" s="19" t="s">
        <v>173</v>
      </c>
      <c r="I96" s="19" t="s">
        <v>307</v>
      </c>
      <c r="J96" s="19"/>
      <c r="K96" s="19"/>
      <c r="L96" s="19"/>
      <c r="M96" s="19"/>
      <c r="N96" s="19"/>
      <c r="O96" s="19"/>
      <c r="P96" s="34">
        <v>0</v>
      </c>
      <c r="Q96" s="34">
        <v>0</v>
      </c>
      <c r="R96" s="34">
        <v>0</v>
      </c>
      <c r="S96" s="34">
        <v>0</v>
      </c>
      <c r="T96" s="34">
        <v>0</v>
      </c>
      <c r="U96" s="19"/>
      <c r="V96" s="19"/>
      <c r="W96" s="19"/>
      <c r="X96" s="19"/>
      <c r="Y96" s="19"/>
      <c r="Z96" s="19"/>
      <c r="AA96" s="19"/>
      <c r="AB96" s="19"/>
      <c r="AC96" s="19"/>
      <c r="AD96" s="19" t="b">
        <f>OR(Glossary!$R79&gt;0,Glossary!$S79&gt;0,Glossary!$T79&gt;0)</f>
        <v>0</v>
      </c>
      <c r="AE96" s="19" t="s">
        <v>156</v>
      </c>
      <c r="AF96" s="19">
        <v>2E-3</v>
      </c>
      <c r="AG96" s="19">
        <v>2E-3</v>
      </c>
      <c r="AH96" s="19" t="s">
        <v>664</v>
      </c>
      <c r="AI96" s="19"/>
      <c r="AJ96" s="19"/>
      <c r="AK96" s="19">
        <v>2E-3</v>
      </c>
      <c r="AL96" s="19" t="b">
        <f t="shared" si="2"/>
        <v>0</v>
      </c>
      <c r="AM96" s="19"/>
      <c r="AN96" s="19"/>
      <c r="AO96" s="19" t="s">
        <v>665</v>
      </c>
      <c r="AP96" s="19"/>
      <c r="AQ96" s="19" t="s">
        <v>73</v>
      </c>
      <c r="AR96" s="19" t="b">
        <v>1</v>
      </c>
      <c r="AS96" s="19"/>
      <c r="AT96" s="19" t="b">
        <v>1</v>
      </c>
      <c r="AU96" s="19" t="b">
        <v>1</v>
      </c>
      <c r="AV96" s="19" t="b">
        <v>1</v>
      </c>
      <c r="AW96" s="19"/>
    </row>
    <row r="97" spans="1:49" ht="12.75" customHeight="1" x14ac:dyDescent="0.2">
      <c r="A97" s="19" t="s">
        <v>666</v>
      </c>
      <c r="B97" s="19" t="s">
        <v>667</v>
      </c>
      <c r="C97" s="34" t="s">
        <v>1007</v>
      </c>
      <c r="D97" s="34" t="s">
        <v>668</v>
      </c>
      <c r="E97" s="19" t="s">
        <v>669</v>
      </c>
      <c r="F97" s="19" t="s">
        <v>670</v>
      </c>
      <c r="G97" s="19" t="s">
        <v>83</v>
      </c>
      <c r="H97" s="19" t="s">
        <v>141</v>
      </c>
      <c r="I97" s="19" t="s">
        <v>142</v>
      </c>
      <c r="J97" s="19" t="b">
        <v>1</v>
      </c>
      <c r="K97" s="19"/>
      <c r="L97" s="19"/>
      <c r="M97" s="19"/>
      <c r="N97" s="19"/>
      <c r="O97" s="19"/>
      <c r="P97" s="34">
        <v>16</v>
      </c>
      <c r="Q97" s="34">
        <v>0</v>
      </c>
      <c r="R97" s="34">
        <v>0</v>
      </c>
      <c r="S97" s="34">
        <v>3</v>
      </c>
      <c r="T97" s="34">
        <v>0</v>
      </c>
      <c r="U97" s="19"/>
      <c r="V97" s="19"/>
      <c r="W97" s="19"/>
      <c r="X97" s="19">
        <v>2</v>
      </c>
      <c r="Y97" s="19"/>
      <c r="Z97" s="19"/>
      <c r="AA97" s="19"/>
      <c r="AB97" s="19"/>
      <c r="AC97" s="19"/>
      <c r="AD97" s="19" t="b">
        <f>OR(Glossary!$R80&gt;0,Glossary!$S80&gt;0,Glossary!$T80&gt;0)</f>
        <v>0</v>
      </c>
      <c r="AE97" s="19" t="b">
        <v>0</v>
      </c>
      <c r="AF97" s="19">
        <v>0.04</v>
      </c>
      <c r="AG97" s="19">
        <v>0.04</v>
      </c>
      <c r="AH97" s="19"/>
      <c r="AI97" s="19"/>
      <c r="AJ97" s="19"/>
      <c r="AK97" s="19"/>
      <c r="AL97" s="19" t="str">
        <f t="shared" si="2"/>
        <v/>
      </c>
      <c r="AM97" s="19"/>
      <c r="AN97" s="19" t="s">
        <v>72</v>
      </c>
      <c r="AO97" s="19" t="s">
        <v>671</v>
      </c>
      <c r="AP97" s="19"/>
      <c r="AQ97" s="19"/>
      <c r="AR97" s="19" t="b">
        <v>1</v>
      </c>
      <c r="AS97" s="19"/>
      <c r="AT97" s="19"/>
      <c r="AU97" s="19"/>
      <c r="AV97" s="19"/>
      <c r="AW97" s="19"/>
    </row>
    <row r="98" spans="1:49" ht="12.75" customHeight="1" x14ac:dyDescent="0.2">
      <c r="A98" s="19" t="s">
        <v>672</v>
      </c>
      <c r="B98" s="19" t="s">
        <v>673</v>
      </c>
      <c r="C98" s="34" t="s">
        <v>1008</v>
      </c>
      <c r="D98" s="34" t="s">
        <v>674</v>
      </c>
      <c r="E98" s="19" t="s">
        <v>675</v>
      </c>
      <c r="F98" s="19" t="s">
        <v>676</v>
      </c>
      <c r="G98" s="19" t="s">
        <v>225</v>
      </c>
      <c r="H98" s="19" t="s">
        <v>226</v>
      </c>
      <c r="I98" s="19" t="s">
        <v>227</v>
      </c>
      <c r="J98" s="19"/>
      <c r="K98" s="19"/>
      <c r="L98" s="19"/>
      <c r="M98" s="19"/>
      <c r="N98" s="19"/>
      <c r="O98" s="19"/>
      <c r="P98" s="34">
        <v>5</v>
      </c>
      <c r="Q98" s="34">
        <v>0</v>
      </c>
      <c r="R98" s="34">
        <v>0</v>
      </c>
      <c r="S98" s="34">
        <v>0</v>
      </c>
      <c r="T98" s="34">
        <v>0</v>
      </c>
      <c r="U98" s="19"/>
      <c r="V98" s="19"/>
      <c r="W98" s="19"/>
      <c r="X98" s="19">
        <v>1</v>
      </c>
      <c r="Y98" s="19"/>
      <c r="Z98" s="19"/>
      <c r="AA98" s="19"/>
      <c r="AB98" s="19"/>
      <c r="AC98" s="19"/>
      <c r="AD98" s="19" t="b">
        <f>OR(Glossary!$R81&gt;0,Glossary!$S81&gt;0,Glossary!$T81&gt;0)</f>
        <v>0</v>
      </c>
      <c r="AE98" s="19" t="b">
        <v>1</v>
      </c>
      <c r="AF98" s="19"/>
      <c r="AG98" s="19"/>
      <c r="AH98" s="19"/>
      <c r="AI98" s="19"/>
      <c r="AJ98" s="19" t="b">
        <v>1</v>
      </c>
      <c r="AK98" s="19"/>
      <c r="AL98" s="19" t="str">
        <f t="shared" ref="AL98:AL129" si="3">IF(ISBLANK(AK98),"",AK98&lt;AG98)</f>
        <v/>
      </c>
      <c r="AM98" s="19"/>
      <c r="AN98" s="19"/>
      <c r="AO98" s="19" t="s">
        <v>677</v>
      </c>
      <c r="AP98" s="19"/>
      <c r="AQ98" s="19"/>
      <c r="AR98" s="19" t="b">
        <v>1</v>
      </c>
      <c r="AS98" s="19"/>
      <c r="AT98" s="19"/>
      <c r="AU98" s="19"/>
      <c r="AV98" s="19"/>
      <c r="AW98" s="19"/>
    </row>
    <row r="99" spans="1:49" ht="12.75" customHeight="1" x14ac:dyDescent="0.2">
      <c r="A99" s="19" t="s">
        <v>678</v>
      </c>
      <c r="B99" s="19" t="s">
        <v>679</v>
      </c>
      <c r="C99" s="34" t="s">
        <v>1004</v>
      </c>
      <c r="D99" s="34" t="s">
        <v>680</v>
      </c>
      <c r="E99" s="19" t="s">
        <v>681</v>
      </c>
      <c r="F99" s="19" t="s">
        <v>682</v>
      </c>
      <c r="G99" s="19" t="s">
        <v>225</v>
      </c>
      <c r="H99" s="19" t="s">
        <v>226</v>
      </c>
      <c r="I99" s="19" t="s">
        <v>227</v>
      </c>
      <c r="J99" s="19"/>
      <c r="K99" s="19"/>
      <c r="L99" s="19"/>
      <c r="M99" s="19"/>
      <c r="N99" s="19"/>
      <c r="O99" s="19"/>
      <c r="P99" s="34">
        <v>6</v>
      </c>
      <c r="Q99" s="34">
        <v>0</v>
      </c>
      <c r="R99" s="34">
        <v>0</v>
      </c>
      <c r="S99" s="34">
        <v>0</v>
      </c>
      <c r="T99" s="34">
        <v>0</v>
      </c>
      <c r="U99" s="19"/>
      <c r="V99" s="19"/>
      <c r="W99" s="19"/>
      <c r="X99" s="19"/>
      <c r="Y99" s="19">
        <v>1</v>
      </c>
      <c r="Z99" s="19"/>
      <c r="AA99" s="19"/>
      <c r="AB99" s="19"/>
      <c r="AC99" s="19"/>
      <c r="AD99" s="19" t="b">
        <f>OR(Glossary!$R82&gt;0,Glossary!$S82&gt;0,Glossary!$T82&gt;0)</f>
        <v>1</v>
      </c>
      <c r="AE99" s="19" t="b">
        <v>0</v>
      </c>
      <c r="AF99" s="19"/>
      <c r="AG99" s="19"/>
      <c r="AH99" s="19"/>
      <c r="AI99" s="19"/>
      <c r="AJ99" s="19"/>
      <c r="AK99" s="19"/>
      <c r="AL99" s="19" t="str">
        <f t="shared" si="3"/>
        <v/>
      </c>
      <c r="AM99" s="19"/>
      <c r="AN99" s="19"/>
      <c r="AO99" s="19" t="s">
        <v>683</v>
      </c>
      <c r="AP99" s="19"/>
      <c r="AQ99" s="19"/>
      <c r="AR99" s="19" t="b">
        <v>1</v>
      </c>
      <c r="AS99" s="19"/>
      <c r="AT99" s="19"/>
      <c r="AU99" s="19"/>
      <c r="AV99" s="19"/>
      <c r="AW99" s="19"/>
    </row>
    <row r="100" spans="1:49" ht="12.75" customHeight="1" x14ac:dyDescent="0.2">
      <c r="A100" s="19" t="s">
        <v>684</v>
      </c>
      <c r="B100" s="19" t="s">
        <v>685</v>
      </c>
      <c r="C100" s="34" t="s">
        <v>1009</v>
      </c>
      <c r="D100" s="34" t="s">
        <v>686</v>
      </c>
      <c r="E100" s="19" t="s">
        <v>687</v>
      </c>
      <c r="F100" s="19" t="s">
        <v>688</v>
      </c>
      <c r="G100" s="19" t="s">
        <v>225</v>
      </c>
      <c r="H100" s="19" t="s">
        <v>226</v>
      </c>
      <c r="I100" s="19" t="s">
        <v>258</v>
      </c>
      <c r="J100" s="19"/>
      <c r="K100" s="19"/>
      <c r="L100" s="19"/>
      <c r="M100" s="19"/>
      <c r="N100" s="19"/>
      <c r="O100" s="19"/>
      <c r="P100" s="34">
        <v>1</v>
      </c>
      <c r="Q100" s="34">
        <v>0</v>
      </c>
      <c r="R100" s="34">
        <v>0</v>
      </c>
      <c r="S100" s="34">
        <v>2</v>
      </c>
      <c r="T100" s="34">
        <v>0</v>
      </c>
      <c r="U100" s="19"/>
      <c r="V100" s="19"/>
      <c r="W100" s="19"/>
      <c r="X100" s="19"/>
      <c r="Y100" s="19"/>
      <c r="Z100" s="19"/>
      <c r="AA100" s="19"/>
      <c r="AB100" s="19"/>
      <c r="AC100" s="19"/>
      <c r="AD100" s="19" t="b">
        <f>OR(Glossary!$R83&gt;0,Glossary!$S83&gt;0,Glossary!$T83&gt;0)</f>
        <v>1</v>
      </c>
      <c r="AE100" s="19" t="b">
        <v>1</v>
      </c>
      <c r="AF100" s="19">
        <v>0</v>
      </c>
      <c r="AG100" s="19">
        <v>5.0000000000000001E-3</v>
      </c>
      <c r="AH100" s="19"/>
      <c r="AI100" s="19"/>
      <c r="AJ100" s="19"/>
      <c r="AK100" s="19"/>
      <c r="AL100" s="19" t="str">
        <f t="shared" si="3"/>
        <v/>
      </c>
      <c r="AM100" s="19"/>
      <c r="AN100" s="19"/>
      <c r="AO100" s="19" t="s">
        <v>689</v>
      </c>
      <c r="AP100" s="19"/>
      <c r="AQ100" s="19"/>
      <c r="AR100" s="19" t="b">
        <v>1</v>
      </c>
      <c r="AS100" s="19"/>
      <c r="AT100" s="19" t="b">
        <v>1</v>
      </c>
      <c r="AU100" s="19"/>
      <c r="AV100" s="19" t="b">
        <v>1</v>
      </c>
      <c r="AW100" s="19"/>
    </row>
    <row r="101" spans="1:49" ht="12.75" customHeight="1" x14ac:dyDescent="0.2">
      <c r="A101" s="19" t="s">
        <v>690</v>
      </c>
      <c r="B101" s="19" t="s">
        <v>691</v>
      </c>
      <c r="C101" s="34" t="s">
        <v>1010</v>
      </c>
      <c r="D101" s="34" t="s">
        <v>692</v>
      </c>
      <c r="E101" s="19" t="s">
        <v>693</v>
      </c>
      <c r="F101" s="19" t="s">
        <v>694</v>
      </c>
      <c r="G101" s="19" t="s">
        <v>83</v>
      </c>
      <c r="H101" s="19" t="s">
        <v>87</v>
      </c>
      <c r="I101" s="19" t="s">
        <v>130</v>
      </c>
      <c r="J101" s="19" t="b">
        <v>1</v>
      </c>
      <c r="K101" s="19" t="b">
        <v>1</v>
      </c>
      <c r="L101" s="19"/>
      <c r="M101" s="19" t="b">
        <v>1</v>
      </c>
      <c r="N101" s="19" t="b">
        <v>1</v>
      </c>
      <c r="O101" s="19"/>
      <c r="P101" s="34">
        <v>11</v>
      </c>
      <c r="Q101" s="34">
        <v>0</v>
      </c>
      <c r="R101" s="34">
        <v>0</v>
      </c>
      <c r="S101" s="34">
        <v>0</v>
      </c>
      <c r="T101" s="34">
        <v>0</v>
      </c>
      <c r="U101" s="19"/>
      <c r="V101" s="19"/>
      <c r="W101" s="19"/>
      <c r="X101" s="19"/>
      <c r="Y101" s="19"/>
      <c r="Z101" s="19"/>
      <c r="AA101" s="19"/>
      <c r="AB101" s="19"/>
      <c r="AC101" s="19"/>
      <c r="AD101" s="19" t="b">
        <f>OR(Glossary!$R84&gt;0,Glossary!$S84&gt;0,Glossary!$T84&gt;0)</f>
        <v>1</v>
      </c>
      <c r="AE101" s="19" t="b">
        <v>0</v>
      </c>
      <c r="AF101" s="19"/>
      <c r="AG101" s="19"/>
      <c r="AH101" s="19"/>
      <c r="AI101" s="19"/>
      <c r="AJ101" s="19"/>
      <c r="AK101" s="19"/>
      <c r="AL101" s="19" t="str">
        <f t="shared" si="3"/>
        <v/>
      </c>
      <c r="AM101" s="19"/>
      <c r="AN101" s="19"/>
      <c r="AO101" s="19" t="s">
        <v>695</v>
      </c>
      <c r="AP101" s="19"/>
      <c r="AQ101" s="19"/>
      <c r="AR101" s="19" t="b">
        <v>1</v>
      </c>
      <c r="AS101" s="19"/>
      <c r="AT101" s="19" t="b">
        <v>1</v>
      </c>
      <c r="AU101" s="19" t="b">
        <v>1</v>
      </c>
      <c r="AV101" s="19" t="b">
        <v>1</v>
      </c>
      <c r="AW101" s="19"/>
    </row>
    <row r="102" spans="1:49" ht="12.75" customHeight="1" x14ac:dyDescent="0.2">
      <c r="A102" s="19" t="s">
        <v>696</v>
      </c>
      <c r="B102" s="19" t="s">
        <v>697</v>
      </c>
      <c r="C102" s="34" t="s">
        <v>1010</v>
      </c>
      <c r="D102" s="38" t="s">
        <v>698</v>
      </c>
      <c r="E102" s="19" t="s">
        <v>699</v>
      </c>
      <c r="F102" s="19" t="s">
        <v>700</v>
      </c>
      <c r="G102" s="19" t="s">
        <v>83</v>
      </c>
      <c r="H102" s="19" t="s">
        <v>87</v>
      </c>
      <c r="I102" s="19" t="s">
        <v>130</v>
      </c>
      <c r="J102" s="19" t="b">
        <v>1</v>
      </c>
      <c r="K102" s="19" t="b">
        <v>1</v>
      </c>
      <c r="L102" s="19"/>
      <c r="M102" s="19" t="b">
        <v>1</v>
      </c>
      <c r="N102" s="19" t="b">
        <v>1</v>
      </c>
      <c r="O102" s="19"/>
      <c r="P102" s="34">
        <v>11</v>
      </c>
      <c r="Q102" s="34">
        <v>0</v>
      </c>
      <c r="R102" s="34">
        <v>0</v>
      </c>
      <c r="S102" s="34">
        <v>0</v>
      </c>
      <c r="T102" s="34">
        <v>0</v>
      </c>
      <c r="U102" s="19"/>
      <c r="V102" s="19"/>
      <c r="W102" s="19"/>
      <c r="X102" s="19"/>
      <c r="Y102" s="19"/>
      <c r="Z102" s="19"/>
      <c r="AA102" s="19"/>
      <c r="AB102" s="19"/>
      <c r="AC102" s="19"/>
      <c r="AD102" s="19" t="b">
        <f>OR(Glossary!$R85&gt;0,Glossary!$S85&gt;0,Glossary!$T85&gt;0)</f>
        <v>1</v>
      </c>
      <c r="AE102" s="19" t="b">
        <v>0</v>
      </c>
      <c r="AF102" s="19"/>
      <c r="AG102" s="19"/>
      <c r="AH102" s="19"/>
      <c r="AI102" s="19"/>
      <c r="AJ102" s="19"/>
      <c r="AK102" s="19"/>
      <c r="AL102" s="19" t="str">
        <f t="shared" si="3"/>
        <v/>
      </c>
      <c r="AM102" s="19"/>
      <c r="AN102" s="19"/>
      <c r="AO102" s="19" t="s">
        <v>701</v>
      </c>
      <c r="AP102" s="19"/>
      <c r="AQ102" s="19"/>
      <c r="AR102" s="19" t="b">
        <v>1</v>
      </c>
      <c r="AS102" s="19"/>
      <c r="AT102" s="19" t="b">
        <v>1</v>
      </c>
      <c r="AU102" s="19" t="b">
        <v>1</v>
      </c>
      <c r="AV102" s="19" t="b">
        <v>1</v>
      </c>
      <c r="AW102" s="19"/>
    </row>
    <row r="103" spans="1:49" ht="12.75" customHeight="1" x14ac:dyDescent="0.2">
      <c r="A103" s="19" t="s">
        <v>702</v>
      </c>
      <c r="B103" s="19" t="s">
        <v>703</v>
      </c>
      <c r="C103" s="34" t="s">
        <v>1040</v>
      </c>
      <c r="D103" s="34"/>
      <c r="E103" s="19"/>
      <c r="F103" s="19"/>
      <c r="G103" s="19" t="s">
        <v>225</v>
      </c>
      <c r="H103" s="19" t="s">
        <v>226</v>
      </c>
      <c r="I103" s="19" t="s">
        <v>258</v>
      </c>
      <c r="J103" s="19"/>
      <c r="K103" s="19"/>
      <c r="L103" s="19" t="b">
        <v>1</v>
      </c>
      <c r="M103" s="19"/>
      <c r="N103" s="19"/>
      <c r="O103" s="19"/>
      <c r="P103" s="34">
        <v>2</v>
      </c>
      <c r="Q103" s="34">
        <v>0</v>
      </c>
      <c r="R103" s="34">
        <v>0</v>
      </c>
      <c r="S103" s="34">
        <v>0</v>
      </c>
      <c r="T103" s="34">
        <v>1</v>
      </c>
      <c r="U103" s="19"/>
      <c r="V103" s="19"/>
      <c r="W103" s="19"/>
      <c r="X103" s="19"/>
      <c r="Y103" s="19"/>
      <c r="Z103" s="19"/>
      <c r="AA103" s="19"/>
      <c r="AB103" s="19"/>
      <c r="AC103" s="19"/>
      <c r="AD103" s="19" t="b">
        <v>1</v>
      </c>
      <c r="AE103" s="19" t="b">
        <v>0</v>
      </c>
      <c r="AF103" s="19"/>
      <c r="AG103" s="19"/>
      <c r="AH103" s="19"/>
      <c r="AI103" s="19"/>
      <c r="AJ103" s="19"/>
      <c r="AK103" s="19"/>
      <c r="AL103" s="19" t="str">
        <f t="shared" si="3"/>
        <v/>
      </c>
      <c r="AM103" s="19"/>
      <c r="AN103" s="19"/>
      <c r="AO103" s="19" t="s">
        <v>425</v>
      </c>
      <c r="AP103" s="19"/>
      <c r="AQ103" s="19"/>
      <c r="AR103" s="19"/>
      <c r="AS103" s="19"/>
      <c r="AT103" s="19"/>
      <c r="AU103" s="19"/>
      <c r="AV103" s="19" t="b">
        <v>1</v>
      </c>
      <c r="AW103" s="19"/>
    </row>
    <row r="104" spans="1:49" ht="12.75" customHeight="1" x14ac:dyDescent="0.2">
      <c r="A104" s="19" t="s">
        <v>704</v>
      </c>
      <c r="B104" s="19" t="s">
        <v>705</v>
      </c>
      <c r="C104" s="34" t="s">
        <v>1041</v>
      </c>
      <c r="D104" s="34"/>
      <c r="E104" s="19"/>
      <c r="F104" s="19"/>
      <c r="G104" s="19" t="s">
        <v>225</v>
      </c>
      <c r="H104" s="19" t="s">
        <v>226</v>
      </c>
      <c r="I104" s="19" t="s">
        <v>258</v>
      </c>
      <c r="J104" s="19"/>
      <c r="K104" s="19"/>
      <c r="L104" s="19" t="b">
        <v>1</v>
      </c>
      <c r="M104" s="19"/>
      <c r="N104" s="19"/>
      <c r="O104" s="19"/>
      <c r="P104" s="34">
        <v>2</v>
      </c>
      <c r="Q104" s="34">
        <v>0</v>
      </c>
      <c r="R104" s="34">
        <v>0</v>
      </c>
      <c r="S104" s="34">
        <v>1</v>
      </c>
      <c r="T104" s="34">
        <v>0</v>
      </c>
      <c r="U104" s="19"/>
      <c r="V104" s="19"/>
      <c r="W104" s="19"/>
      <c r="X104" s="19"/>
      <c r="Y104" s="19"/>
      <c r="Z104" s="19"/>
      <c r="AA104" s="19"/>
      <c r="AB104" s="19"/>
      <c r="AC104" s="19"/>
      <c r="AD104" s="19" t="b">
        <v>1</v>
      </c>
      <c r="AE104" s="19" t="b">
        <v>0</v>
      </c>
      <c r="AF104" s="19"/>
      <c r="AG104" s="19"/>
      <c r="AH104" s="19"/>
      <c r="AI104" s="19"/>
      <c r="AJ104" s="19"/>
      <c r="AK104" s="19"/>
      <c r="AL104" s="19" t="str">
        <f t="shared" si="3"/>
        <v/>
      </c>
      <c r="AM104" s="19"/>
      <c r="AN104" s="19"/>
      <c r="AO104" s="19" t="s">
        <v>425</v>
      </c>
      <c r="AP104" s="19"/>
      <c r="AQ104" s="19"/>
      <c r="AR104" s="19"/>
      <c r="AS104" s="19"/>
      <c r="AT104" s="19"/>
      <c r="AU104" s="19"/>
      <c r="AV104" s="19" t="b">
        <v>1</v>
      </c>
      <c r="AW104" s="19"/>
    </row>
    <row r="105" spans="1:49" ht="12.75" customHeight="1" x14ac:dyDescent="0.2">
      <c r="A105" s="19" t="s">
        <v>706</v>
      </c>
      <c r="B105" s="19" t="s">
        <v>707</v>
      </c>
      <c r="C105" s="34" t="s">
        <v>1011</v>
      </c>
      <c r="D105" s="34"/>
      <c r="E105" s="19" t="s">
        <v>708</v>
      </c>
      <c r="F105" s="19" t="s">
        <v>709</v>
      </c>
      <c r="G105" s="19" t="s">
        <v>83</v>
      </c>
      <c r="H105" s="19" t="s">
        <v>87</v>
      </c>
      <c r="I105" s="19" t="s">
        <v>706</v>
      </c>
      <c r="J105" s="19" t="b">
        <v>1</v>
      </c>
      <c r="K105" s="19" t="b">
        <v>1</v>
      </c>
      <c r="L105" s="19"/>
      <c r="M105" s="19" t="b">
        <v>1</v>
      </c>
      <c r="N105" s="19" t="b">
        <v>1</v>
      </c>
      <c r="O105" s="19"/>
      <c r="P105" s="34">
        <v>10</v>
      </c>
      <c r="Q105" s="34">
        <v>0</v>
      </c>
      <c r="R105" s="34">
        <v>0</v>
      </c>
      <c r="S105" s="34">
        <v>0</v>
      </c>
      <c r="T105" s="34">
        <v>0</v>
      </c>
      <c r="U105" s="19"/>
      <c r="V105" s="19"/>
      <c r="W105" s="19"/>
      <c r="X105" s="19"/>
      <c r="Y105" s="19"/>
      <c r="Z105" s="19"/>
      <c r="AA105" s="19"/>
      <c r="AB105" s="19"/>
      <c r="AC105" s="19"/>
      <c r="AD105" s="19" t="b">
        <f>OR(Glossary!$R86&gt;0,Glossary!$S86&gt;0,Glossary!$T86&gt;0)</f>
        <v>1</v>
      </c>
      <c r="AE105" s="19" t="b">
        <v>0</v>
      </c>
      <c r="AF105" s="19"/>
      <c r="AG105" s="19"/>
      <c r="AH105" s="19"/>
      <c r="AI105" s="19"/>
      <c r="AJ105" s="19"/>
      <c r="AK105" s="19"/>
      <c r="AL105" s="19" t="str">
        <f t="shared" si="3"/>
        <v/>
      </c>
      <c r="AM105" s="19"/>
      <c r="AN105" s="19"/>
      <c r="AO105" s="19" t="s">
        <v>710</v>
      </c>
      <c r="AP105" s="19"/>
      <c r="AQ105" s="19"/>
      <c r="AR105" s="19" t="b">
        <v>1</v>
      </c>
      <c r="AS105" s="19"/>
      <c r="AT105" s="19" t="b">
        <v>1</v>
      </c>
      <c r="AU105" s="19" t="b">
        <v>1</v>
      </c>
      <c r="AV105" s="19" t="b">
        <v>1</v>
      </c>
      <c r="AW105" s="19"/>
    </row>
    <row r="106" spans="1:49" ht="12.75" customHeight="1" x14ac:dyDescent="0.2">
      <c r="A106" s="19" t="s">
        <v>711</v>
      </c>
      <c r="B106" s="19" t="s">
        <v>712</v>
      </c>
      <c r="C106" s="34" t="s">
        <v>1012</v>
      </c>
      <c r="D106" s="34"/>
      <c r="E106" s="19" t="s">
        <v>713</v>
      </c>
      <c r="F106" s="19" t="s">
        <v>714</v>
      </c>
      <c r="G106" s="19" t="s">
        <v>153</v>
      </c>
      <c r="H106" s="19" t="s">
        <v>173</v>
      </c>
      <c r="I106" s="19" t="s">
        <v>715</v>
      </c>
      <c r="J106" s="19"/>
      <c r="K106" s="19"/>
      <c r="L106" s="19"/>
      <c r="M106" s="19" t="b">
        <v>1</v>
      </c>
      <c r="N106" s="19"/>
      <c r="O106" s="19"/>
      <c r="P106" s="34">
        <v>0</v>
      </c>
      <c r="Q106" s="34">
        <v>0</v>
      </c>
      <c r="R106" s="34">
        <v>0</v>
      </c>
      <c r="S106" s="34">
        <v>0</v>
      </c>
      <c r="T106" s="34">
        <v>0</v>
      </c>
      <c r="U106" s="19"/>
      <c r="V106" s="19"/>
      <c r="W106" s="19"/>
      <c r="X106" s="19"/>
      <c r="Y106" s="19"/>
      <c r="Z106" s="19"/>
      <c r="AA106" s="19"/>
      <c r="AB106" s="19"/>
      <c r="AC106" s="19"/>
      <c r="AD106" s="19" t="b">
        <f>OR(Glossary!$R87&gt;0,Glossary!$S87&gt;0,Glossary!$T87&gt;0)</f>
        <v>1</v>
      </c>
      <c r="AE106" s="19" t="s">
        <v>156</v>
      </c>
      <c r="AF106" s="19"/>
      <c r="AG106" s="19"/>
      <c r="AH106" s="19"/>
      <c r="AI106" s="19"/>
      <c r="AJ106" s="19"/>
      <c r="AK106" s="19"/>
      <c r="AL106" s="19" t="str">
        <f t="shared" si="3"/>
        <v/>
      </c>
      <c r="AM106" s="19"/>
      <c r="AN106" s="19"/>
      <c r="AO106" s="19" t="s">
        <v>716</v>
      </c>
      <c r="AP106" s="19"/>
      <c r="AQ106" s="19" t="s">
        <v>73</v>
      </c>
      <c r="AR106" s="19" t="b">
        <v>1</v>
      </c>
      <c r="AS106" s="19"/>
      <c r="AT106" s="19"/>
      <c r="AU106" s="19"/>
      <c r="AV106" s="19"/>
      <c r="AW106" s="19"/>
    </row>
    <row r="107" spans="1:49" ht="12.75" customHeight="1" x14ac:dyDescent="0.2">
      <c r="A107" s="19" t="s">
        <v>717</v>
      </c>
      <c r="B107" s="19" t="s">
        <v>718</v>
      </c>
      <c r="C107" s="34" t="s">
        <v>526</v>
      </c>
      <c r="D107" s="34"/>
      <c r="E107" s="19" t="s">
        <v>719</v>
      </c>
      <c r="F107" s="19" t="s">
        <v>720</v>
      </c>
      <c r="G107" s="19" t="s">
        <v>225</v>
      </c>
      <c r="H107" s="19" t="s">
        <v>330</v>
      </c>
      <c r="I107" s="19" t="s">
        <v>331</v>
      </c>
      <c r="J107" s="19"/>
      <c r="K107" s="19"/>
      <c r="L107" s="19"/>
      <c r="M107" s="19"/>
      <c r="N107" s="19"/>
      <c r="O107" s="19" t="b">
        <v>1</v>
      </c>
      <c r="P107" s="34">
        <v>10</v>
      </c>
      <c r="Q107" s="34">
        <v>0</v>
      </c>
      <c r="R107" s="34">
        <v>0</v>
      </c>
      <c r="S107" s="34">
        <v>9</v>
      </c>
      <c r="T107" s="34">
        <v>0</v>
      </c>
      <c r="U107" s="19"/>
      <c r="V107" s="19"/>
      <c r="W107" s="19"/>
      <c r="X107" s="19"/>
      <c r="Y107" s="19"/>
      <c r="Z107" s="19"/>
      <c r="AA107" s="19"/>
      <c r="AB107" s="19"/>
      <c r="AC107" s="19"/>
      <c r="AD107" s="19" t="b">
        <f>OR(Glossary!$R88&gt;0,Glossary!$S88&gt;0,Glossary!$T88&gt;0)</f>
        <v>1</v>
      </c>
      <c r="AE107" s="19" t="b">
        <v>0</v>
      </c>
      <c r="AF107" s="19">
        <v>0</v>
      </c>
      <c r="AG107" s="19">
        <v>2E-3</v>
      </c>
      <c r="AH107" s="19" t="s">
        <v>332</v>
      </c>
      <c r="AI107" s="19"/>
      <c r="AJ107" s="19"/>
      <c r="AK107" s="19"/>
      <c r="AL107" s="19" t="str">
        <f t="shared" si="3"/>
        <v/>
      </c>
      <c r="AM107" s="19"/>
      <c r="AN107" s="19"/>
      <c r="AO107" s="19" t="s">
        <v>721</v>
      </c>
      <c r="AP107" s="19"/>
      <c r="AQ107" s="19"/>
      <c r="AR107" s="19" t="b">
        <v>1</v>
      </c>
      <c r="AS107" s="19"/>
      <c r="AT107" s="19"/>
      <c r="AU107" s="19"/>
      <c r="AV107" s="19"/>
      <c r="AW107" s="19"/>
    </row>
    <row r="108" spans="1:49" ht="12.75" customHeight="1" x14ac:dyDescent="0.2">
      <c r="A108" s="19" t="s">
        <v>722</v>
      </c>
      <c r="B108" s="19" t="s">
        <v>723</v>
      </c>
      <c r="C108" s="34" t="s">
        <v>526</v>
      </c>
      <c r="D108" s="34"/>
      <c r="E108" s="19" t="s">
        <v>724</v>
      </c>
      <c r="F108" s="19" t="s">
        <v>720</v>
      </c>
      <c r="G108" s="19" t="s">
        <v>225</v>
      </c>
      <c r="H108" s="19" t="s">
        <v>330</v>
      </c>
      <c r="I108" s="19" t="s">
        <v>331</v>
      </c>
      <c r="J108" s="19"/>
      <c r="K108" s="19"/>
      <c r="L108" s="19"/>
      <c r="M108" s="19"/>
      <c r="N108" s="19"/>
      <c r="O108" s="19" t="b">
        <v>1</v>
      </c>
      <c r="P108" s="34">
        <v>10</v>
      </c>
      <c r="Q108" s="34">
        <v>0</v>
      </c>
      <c r="R108" s="34">
        <v>0</v>
      </c>
      <c r="S108" s="34">
        <v>9</v>
      </c>
      <c r="T108" s="34">
        <v>0</v>
      </c>
      <c r="U108" s="19"/>
      <c r="V108" s="19"/>
      <c r="W108" s="19"/>
      <c r="X108" s="19"/>
      <c r="Y108" s="19"/>
      <c r="Z108" s="19"/>
      <c r="AA108" s="19"/>
      <c r="AB108" s="19"/>
      <c r="AC108" s="19"/>
      <c r="AD108" s="19" t="b">
        <f>OR(Glossary!$R89&gt;0,Glossary!$S89&gt;0,Glossary!$T89&gt;0)</f>
        <v>0</v>
      </c>
      <c r="AE108" s="19" t="b">
        <v>0</v>
      </c>
      <c r="AF108" s="19">
        <v>0</v>
      </c>
      <c r="AG108" s="19">
        <v>2E-3</v>
      </c>
      <c r="AH108" s="19" t="s">
        <v>332</v>
      </c>
      <c r="AI108" s="19"/>
      <c r="AJ108" s="19"/>
      <c r="AK108" s="19"/>
      <c r="AL108" s="19" t="str">
        <f t="shared" si="3"/>
        <v/>
      </c>
      <c r="AM108" s="19"/>
      <c r="AN108" s="19"/>
      <c r="AO108" s="19" t="s">
        <v>725</v>
      </c>
      <c r="AP108" s="19"/>
      <c r="AQ108" s="19"/>
      <c r="AR108" s="19" t="b">
        <v>1</v>
      </c>
      <c r="AS108" s="19"/>
      <c r="AT108" s="19"/>
      <c r="AU108" s="19"/>
      <c r="AV108" s="19"/>
      <c r="AW108" s="19"/>
    </row>
    <row r="109" spans="1:49" ht="12.75" customHeight="1" x14ac:dyDescent="0.2">
      <c r="A109" s="19" t="s">
        <v>726</v>
      </c>
      <c r="B109" s="19" t="s">
        <v>727</v>
      </c>
      <c r="C109" s="34" t="s">
        <v>1013</v>
      </c>
      <c r="D109" s="34"/>
      <c r="E109" s="19" t="s">
        <v>728</v>
      </c>
      <c r="F109" s="19" t="s">
        <v>729</v>
      </c>
      <c r="G109" s="19" t="s">
        <v>83</v>
      </c>
      <c r="H109" s="19" t="s">
        <v>141</v>
      </c>
      <c r="I109" s="19" t="s">
        <v>100</v>
      </c>
      <c r="J109" s="19" t="b">
        <v>1</v>
      </c>
      <c r="K109" s="19"/>
      <c r="L109" s="19"/>
      <c r="M109" s="19"/>
      <c r="N109" s="19"/>
      <c r="O109" s="19" t="b">
        <v>1</v>
      </c>
      <c r="P109" s="34">
        <v>6</v>
      </c>
      <c r="Q109" s="34">
        <v>0</v>
      </c>
      <c r="R109" s="34">
        <v>0</v>
      </c>
      <c r="S109" s="34">
        <v>5</v>
      </c>
      <c r="T109" s="34">
        <v>0</v>
      </c>
      <c r="U109" s="19">
        <v>1</v>
      </c>
      <c r="V109" s="19"/>
      <c r="W109" s="19"/>
      <c r="X109" s="19"/>
      <c r="Y109" s="19"/>
      <c r="Z109" s="19"/>
      <c r="AA109" s="19"/>
      <c r="AB109" s="19"/>
      <c r="AC109" s="19"/>
      <c r="AD109" s="19" t="b">
        <f>OR(Glossary!$R90&gt;0,Glossary!$S90&gt;0,Glossary!$T90&gt;0)</f>
        <v>0</v>
      </c>
      <c r="AE109" s="19" t="b">
        <v>0</v>
      </c>
      <c r="AF109" s="19">
        <v>0</v>
      </c>
      <c r="AG109" s="19">
        <v>1E-3</v>
      </c>
      <c r="AH109" s="19"/>
      <c r="AI109" s="19"/>
      <c r="AJ109" s="19"/>
      <c r="AK109" s="19">
        <v>1E-3</v>
      </c>
      <c r="AL109" s="19" t="b">
        <f t="shared" si="3"/>
        <v>0</v>
      </c>
      <c r="AM109" s="19"/>
      <c r="AN109" s="19" t="s">
        <v>72</v>
      </c>
      <c r="AO109" s="19" t="s">
        <v>730</v>
      </c>
      <c r="AP109" s="19"/>
      <c r="AQ109" s="19"/>
      <c r="AR109" s="19" t="b">
        <v>1</v>
      </c>
      <c r="AS109" s="19"/>
      <c r="AT109" s="19"/>
      <c r="AU109" s="19"/>
      <c r="AV109" s="19"/>
      <c r="AW109" s="19"/>
    </row>
    <row r="110" spans="1:49" ht="12.75" customHeight="1" x14ac:dyDescent="0.2">
      <c r="A110" s="19" t="s">
        <v>731</v>
      </c>
      <c r="B110" s="19" t="s">
        <v>731</v>
      </c>
      <c r="C110" s="34" t="s">
        <v>526</v>
      </c>
      <c r="D110" s="34"/>
      <c r="E110" s="19"/>
      <c r="F110" s="19"/>
      <c r="G110" s="19" t="s">
        <v>407</v>
      </c>
      <c r="H110" s="19"/>
      <c r="I110" s="19"/>
      <c r="J110" s="19"/>
      <c r="K110" s="19"/>
      <c r="L110" s="19"/>
      <c r="M110" s="19"/>
      <c r="N110" s="19"/>
      <c r="O110" s="19"/>
      <c r="P110" s="34" t="s">
        <v>526</v>
      </c>
      <c r="Q110" s="34" t="s">
        <v>526</v>
      </c>
      <c r="R110" s="34" t="s">
        <v>526</v>
      </c>
      <c r="S110" s="34" t="s">
        <v>526</v>
      </c>
      <c r="T110" s="34" t="s">
        <v>526</v>
      </c>
      <c r="U110" s="19"/>
      <c r="V110" s="19"/>
      <c r="W110" s="19"/>
      <c r="X110" s="19"/>
      <c r="Y110" s="19"/>
      <c r="Z110" s="19"/>
      <c r="AA110" s="19"/>
      <c r="AB110" s="19"/>
      <c r="AC110" s="19"/>
      <c r="AD110" s="19" t="s">
        <v>156</v>
      </c>
      <c r="AE110" s="19" t="s">
        <v>156</v>
      </c>
      <c r="AF110" s="19"/>
      <c r="AG110" s="19"/>
      <c r="AH110" s="19"/>
      <c r="AI110" s="19" t="s">
        <v>732</v>
      </c>
      <c r="AJ110" s="19"/>
      <c r="AK110" s="19"/>
      <c r="AL110" s="19" t="str">
        <f t="shared" si="3"/>
        <v/>
      </c>
      <c r="AM110" s="19"/>
      <c r="AN110" s="19"/>
      <c r="AO110" s="19" t="s">
        <v>733</v>
      </c>
      <c r="AP110" s="19"/>
      <c r="AQ110" s="19"/>
      <c r="AR110" s="19"/>
      <c r="AS110" s="19"/>
      <c r="AT110" s="19"/>
      <c r="AU110" s="19" t="b">
        <v>1</v>
      </c>
      <c r="AV110" s="19"/>
      <c r="AW110" s="19"/>
    </row>
    <row r="111" spans="1:49" ht="12.75" customHeight="1" x14ac:dyDescent="0.2">
      <c r="A111" s="19" t="s">
        <v>734</v>
      </c>
      <c r="B111" s="19" t="s">
        <v>735</v>
      </c>
      <c r="C111" s="34" t="s">
        <v>954</v>
      </c>
      <c r="D111" s="34"/>
      <c r="E111" s="19" t="s">
        <v>736</v>
      </c>
      <c r="F111" s="19" t="s">
        <v>737</v>
      </c>
      <c r="G111" s="19" t="s">
        <v>83</v>
      </c>
      <c r="H111" s="19" t="s">
        <v>87</v>
      </c>
      <c r="I111" s="19"/>
      <c r="J111" s="19" t="b">
        <v>1</v>
      </c>
      <c r="K111" s="19"/>
      <c r="L111" s="19"/>
      <c r="M111" s="19" t="b">
        <v>1</v>
      </c>
      <c r="N111" s="19" t="b">
        <v>1</v>
      </c>
      <c r="O111" s="19"/>
      <c r="P111" s="34">
        <v>14</v>
      </c>
      <c r="Q111" s="34">
        <v>0</v>
      </c>
      <c r="R111" s="34">
        <v>0</v>
      </c>
      <c r="S111" s="34">
        <v>0</v>
      </c>
      <c r="T111" s="34">
        <v>0</v>
      </c>
      <c r="U111" s="19"/>
      <c r="V111" s="19"/>
      <c r="W111" s="19"/>
      <c r="X111" s="19"/>
      <c r="Y111" s="19"/>
      <c r="Z111" s="19"/>
      <c r="AA111" s="19"/>
      <c r="AB111" s="19"/>
      <c r="AC111" s="19"/>
      <c r="AD111" s="19" t="b">
        <f>OR(Glossary!$R91&gt;0,Glossary!$S91&gt;0,Glossary!$T91&gt;0)</f>
        <v>0</v>
      </c>
      <c r="AE111" s="19" t="b">
        <v>0</v>
      </c>
      <c r="AF111" s="19"/>
      <c r="AG111" s="19"/>
      <c r="AH111" s="19"/>
      <c r="AI111" s="19"/>
      <c r="AJ111" s="19"/>
      <c r="AK111" s="19"/>
      <c r="AL111" s="19" t="str">
        <f t="shared" si="3"/>
        <v/>
      </c>
      <c r="AM111" s="19"/>
      <c r="AN111" s="19"/>
      <c r="AO111" s="19" t="s">
        <v>738</v>
      </c>
      <c r="AP111" s="19"/>
      <c r="AQ111" s="19" t="s">
        <v>72</v>
      </c>
      <c r="AR111" s="19" t="b">
        <v>1</v>
      </c>
      <c r="AS111" s="19"/>
      <c r="AT111" s="19"/>
      <c r="AU111" s="19" t="b">
        <v>1</v>
      </c>
      <c r="AV111" s="19" t="b">
        <v>1</v>
      </c>
      <c r="AW111" s="19"/>
    </row>
    <row r="112" spans="1:49" ht="12.75" customHeight="1" x14ac:dyDescent="0.2">
      <c r="A112" s="19" t="s">
        <v>739</v>
      </c>
      <c r="B112" s="19" t="s">
        <v>740</v>
      </c>
      <c r="C112" s="34" t="s">
        <v>1042</v>
      </c>
      <c r="D112" s="38" t="s">
        <v>741</v>
      </c>
      <c r="E112" s="19" t="s">
        <v>742</v>
      </c>
      <c r="F112" s="21" t="s">
        <v>743</v>
      </c>
      <c r="G112" s="19" t="s">
        <v>238</v>
      </c>
      <c r="H112" s="19"/>
      <c r="I112" s="19"/>
      <c r="J112" s="19"/>
      <c r="K112" s="19"/>
      <c r="L112" s="19"/>
      <c r="M112" s="19"/>
      <c r="N112" s="19"/>
      <c r="O112" s="19"/>
      <c r="P112" s="34">
        <v>0</v>
      </c>
      <c r="Q112" s="34">
        <v>0</v>
      </c>
      <c r="R112" s="34">
        <v>0</v>
      </c>
      <c r="S112" s="34">
        <v>0</v>
      </c>
      <c r="T112" s="34">
        <v>0</v>
      </c>
      <c r="U112" s="19"/>
      <c r="V112" s="19"/>
      <c r="W112" s="19"/>
      <c r="X112" s="19"/>
      <c r="Y112" s="19"/>
      <c r="Z112" s="19"/>
      <c r="AA112" s="19"/>
      <c r="AB112" s="19"/>
      <c r="AC112" s="19"/>
      <c r="AD112" s="19"/>
      <c r="AE112" s="19"/>
      <c r="AF112" s="19"/>
      <c r="AG112" s="19"/>
      <c r="AH112" s="19"/>
      <c r="AI112" s="19"/>
      <c r="AJ112" s="19"/>
      <c r="AK112" s="19"/>
      <c r="AL112" s="19" t="str">
        <f t="shared" si="3"/>
        <v/>
      </c>
      <c r="AM112" s="19"/>
      <c r="AN112" s="19"/>
      <c r="AO112" s="19" t="s">
        <v>744</v>
      </c>
      <c r="AP112" s="19"/>
      <c r="AQ112" s="19"/>
      <c r="AR112" s="19"/>
      <c r="AS112" s="19"/>
      <c r="AT112" s="19"/>
      <c r="AU112" s="19" t="b">
        <v>1</v>
      </c>
      <c r="AV112" s="19"/>
      <c r="AW112" s="19" t="b">
        <v>1</v>
      </c>
    </row>
    <row r="113" spans="1:49" ht="12.75" customHeight="1" x14ac:dyDescent="0.2">
      <c r="A113" s="19" t="s">
        <v>745</v>
      </c>
      <c r="B113" s="19" t="s">
        <v>746</v>
      </c>
      <c r="C113" s="34" t="s">
        <v>1043</v>
      </c>
      <c r="D113" s="34"/>
      <c r="E113" s="19" t="s">
        <v>747</v>
      </c>
      <c r="F113" s="21" t="s">
        <v>748</v>
      </c>
      <c r="G113" s="19" t="s">
        <v>153</v>
      </c>
      <c r="H113" s="19" t="s">
        <v>173</v>
      </c>
      <c r="I113" s="19" t="s">
        <v>749</v>
      </c>
      <c r="J113" s="19"/>
      <c r="K113" s="19"/>
      <c r="L113" s="19"/>
      <c r="M113" s="19"/>
      <c r="N113" s="19"/>
      <c r="O113" s="19"/>
      <c r="P113" s="34">
        <v>0</v>
      </c>
      <c r="Q113" s="34">
        <v>0</v>
      </c>
      <c r="R113" s="34">
        <v>0</v>
      </c>
      <c r="S113" s="34">
        <v>0</v>
      </c>
      <c r="T113" s="34">
        <v>0</v>
      </c>
      <c r="U113" s="19"/>
      <c r="V113" s="19"/>
      <c r="W113" s="19"/>
      <c r="X113" s="19"/>
      <c r="Y113" s="19"/>
      <c r="Z113" s="19"/>
      <c r="AA113" s="19"/>
      <c r="AB113" s="19"/>
      <c r="AC113" s="19"/>
      <c r="AD113" s="19" t="b">
        <v>0</v>
      </c>
      <c r="AE113" s="19" t="s">
        <v>156</v>
      </c>
      <c r="AF113" s="19"/>
      <c r="AG113" s="19"/>
      <c r="AH113" s="19"/>
      <c r="AI113" s="19"/>
      <c r="AJ113" s="19"/>
      <c r="AK113" s="19"/>
      <c r="AL113" s="19" t="str">
        <f t="shared" si="3"/>
        <v/>
      </c>
      <c r="AM113" s="19"/>
      <c r="AN113" s="19"/>
      <c r="AO113" s="19" t="s">
        <v>750</v>
      </c>
      <c r="AP113" s="19"/>
      <c r="AQ113" s="19"/>
      <c r="AR113" s="19"/>
      <c r="AS113" s="19"/>
      <c r="AT113" s="19"/>
      <c r="AU113" s="19" t="b">
        <v>1</v>
      </c>
      <c r="AV113" s="19"/>
      <c r="AW113" s="19" t="b">
        <v>1</v>
      </c>
    </row>
    <row r="114" spans="1:49" ht="12.75" customHeight="1" x14ac:dyDescent="0.2">
      <c r="A114" s="19" t="s">
        <v>751</v>
      </c>
      <c r="B114" s="19" t="s">
        <v>752</v>
      </c>
      <c r="C114" s="34" t="s">
        <v>1014</v>
      </c>
      <c r="D114" s="34" t="s">
        <v>753</v>
      </c>
      <c r="E114" s="19" t="s">
        <v>754</v>
      </c>
      <c r="F114" s="19" t="s">
        <v>755</v>
      </c>
      <c r="G114" s="19" t="s">
        <v>83</v>
      </c>
      <c r="H114" s="19" t="s">
        <v>141</v>
      </c>
      <c r="I114" s="19" t="s">
        <v>289</v>
      </c>
      <c r="J114" s="19" t="b">
        <v>1</v>
      </c>
      <c r="K114" s="19"/>
      <c r="L114" s="19"/>
      <c r="M114" s="19"/>
      <c r="N114" s="19"/>
      <c r="O114" s="19"/>
      <c r="P114" s="34">
        <v>9</v>
      </c>
      <c r="Q114" s="34">
        <v>0</v>
      </c>
      <c r="R114" s="34">
        <v>0</v>
      </c>
      <c r="S114" s="34">
        <v>0</v>
      </c>
      <c r="T114" s="34">
        <v>0</v>
      </c>
      <c r="U114" s="19"/>
      <c r="V114" s="19"/>
      <c r="W114" s="19"/>
      <c r="X114" s="19"/>
      <c r="Y114" s="19"/>
      <c r="Z114" s="19"/>
      <c r="AA114" s="19"/>
      <c r="AB114" s="19"/>
      <c r="AC114" s="19"/>
      <c r="AD114" s="19" t="b">
        <f>OR(Glossary!$R92&gt;0,Glossary!$S92&gt;0,Glossary!$T92&gt;0)</f>
        <v>0</v>
      </c>
      <c r="AE114" s="19" t="b">
        <v>0</v>
      </c>
      <c r="AF114" s="19"/>
      <c r="AG114" s="19"/>
      <c r="AH114" s="19"/>
      <c r="AI114" s="19"/>
      <c r="AJ114" s="19"/>
      <c r="AK114" s="19"/>
      <c r="AL114" s="19" t="str">
        <f t="shared" si="3"/>
        <v/>
      </c>
      <c r="AM114" s="19"/>
      <c r="AN114" s="19"/>
      <c r="AO114" s="19" t="s">
        <v>756</v>
      </c>
      <c r="AP114" s="19"/>
      <c r="AQ114" s="19"/>
      <c r="AR114" s="19" t="b">
        <v>1</v>
      </c>
      <c r="AS114" s="19"/>
      <c r="AT114" s="19"/>
      <c r="AU114" s="19" t="b">
        <v>1</v>
      </c>
      <c r="AV114" s="19" t="b">
        <v>1</v>
      </c>
      <c r="AW114" s="19"/>
    </row>
    <row r="115" spans="1:49" ht="12.75" customHeight="1" x14ac:dyDescent="0.2">
      <c r="A115" s="19" t="s">
        <v>757</v>
      </c>
      <c r="B115" s="19" t="s">
        <v>758</v>
      </c>
      <c r="C115" s="34" t="s">
        <v>1014</v>
      </c>
      <c r="D115" s="34" t="s">
        <v>759</v>
      </c>
      <c r="E115" s="19" t="s">
        <v>760</v>
      </c>
      <c r="F115" s="19" t="s">
        <v>761</v>
      </c>
      <c r="G115" s="19" t="s">
        <v>83</v>
      </c>
      <c r="H115" s="19" t="s">
        <v>141</v>
      </c>
      <c r="I115" s="19" t="s">
        <v>289</v>
      </c>
      <c r="J115" s="19" t="b">
        <v>1</v>
      </c>
      <c r="K115" s="19"/>
      <c r="L115" s="19"/>
      <c r="M115" s="19" t="b">
        <v>1</v>
      </c>
      <c r="N115" s="19"/>
      <c r="O115" s="19"/>
      <c r="P115" s="34">
        <v>9</v>
      </c>
      <c r="Q115" s="34">
        <v>0</v>
      </c>
      <c r="R115" s="34">
        <v>0</v>
      </c>
      <c r="S115" s="34">
        <v>0</v>
      </c>
      <c r="T115" s="34">
        <v>0</v>
      </c>
      <c r="U115" s="19"/>
      <c r="V115" s="19"/>
      <c r="W115" s="19"/>
      <c r="X115" s="19"/>
      <c r="Y115" s="19"/>
      <c r="Z115" s="19"/>
      <c r="AA115" s="19"/>
      <c r="AB115" s="19"/>
      <c r="AC115" s="19"/>
      <c r="AD115" s="19" t="b">
        <f>OR(Glossary!$R93&gt;0,Glossary!$S93&gt;0,Glossary!$T93&gt;0)</f>
        <v>0</v>
      </c>
      <c r="AE115" s="19" t="b">
        <v>0</v>
      </c>
      <c r="AF115" s="19"/>
      <c r="AG115" s="19"/>
      <c r="AH115" s="19"/>
      <c r="AI115" s="19"/>
      <c r="AJ115" s="19"/>
      <c r="AK115" s="19"/>
      <c r="AL115" s="19" t="str">
        <f t="shared" si="3"/>
        <v/>
      </c>
      <c r="AM115" s="19"/>
      <c r="AN115" s="19"/>
      <c r="AO115" s="19" t="s">
        <v>762</v>
      </c>
      <c r="AP115" s="19"/>
      <c r="AQ115" s="19"/>
      <c r="AR115" s="19" t="b">
        <v>1</v>
      </c>
      <c r="AS115" s="19"/>
      <c r="AT115" s="19"/>
      <c r="AU115" s="19" t="b">
        <v>1</v>
      </c>
      <c r="AV115" s="19" t="b">
        <v>1</v>
      </c>
      <c r="AW115" s="19"/>
    </row>
    <row r="116" spans="1:49" ht="12.75" customHeight="1" x14ac:dyDescent="0.2">
      <c r="A116" s="19" t="s">
        <v>763</v>
      </c>
      <c r="B116" s="19" t="s">
        <v>764</v>
      </c>
      <c r="C116" s="34" t="s">
        <v>997</v>
      </c>
      <c r="D116" s="34"/>
      <c r="E116" s="19" t="s">
        <v>765</v>
      </c>
      <c r="F116" s="19" t="s">
        <v>766</v>
      </c>
      <c r="G116" s="19" t="s">
        <v>83</v>
      </c>
      <c r="H116" s="19" t="s">
        <v>87</v>
      </c>
      <c r="I116" s="19"/>
      <c r="J116" s="19" t="b">
        <v>1</v>
      </c>
      <c r="K116" s="19"/>
      <c r="L116" s="19"/>
      <c r="M116" s="19"/>
      <c r="N116" s="19" t="b">
        <v>1</v>
      </c>
      <c r="O116" s="19"/>
      <c r="P116" s="34">
        <v>16</v>
      </c>
      <c r="Q116" s="34">
        <v>0</v>
      </c>
      <c r="R116" s="34">
        <v>0</v>
      </c>
      <c r="S116" s="34">
        <v>0</v>
      </c>
      <c r="T116" s="34">
        <v>0</v>
      </c>
      <c r="U116" s="19"/>
      <c r="V116" s="19"/>
      <c r="W116" s="19"/>
      <c r="X116" s="19"/>
      <c r="Y116" s="19"/>
      <c r="Z116" s="19"/>
      <c r="AA116" s="19"/>
      <c r="AB116" s="19"/>
      <c r="AC116" s="19"/>
      <c r="AD116" s="19" t="b">
        <f>OR(Glossary!$R94&gt;0,Glossary!$S94&gt;0,Glossary!$T94&gt;0)</f>
        <v>0</v>
      </c>
      <c r="AE116" s="19" t="b">
        <v>0</v>
      </c>
      <c r="AF116" s="19"/>
      <c r="AG116" s="19"/>
      <c r="AH116" s="19"/>
      <c r="AI116" s="19"/>
      <c r="AJ116" s="19"/>
      <c r="AK116" s="19"/>
      <c r="AL116" s="19" t="str">
        <f t="shared" si="3"/>
        <v/>
      </c>
      <c r="AM116" s="19"/>
      <c r="AN116" s="19"/>
      <c r="AO116" s="19" t="s">
        <v>767</v>
      </c>
      <c r="AP116" s="19"/>
      <c r="AQ116" s="19" t="s">
        <v>72</v>
      </c>
      <c r="AR116" s="19" t="b">
        <v>1</v>
      </c>
      <c r="AS116" s="19"/>
      <c r="AT116" s="19"/>
      <c r="AU116" s="19" t="b">
        <v>1</v>
      </c>
      <c r="AV116" s="19" t="b">
        <v>1</v>
      </c>
      <c r="AW116" s="19"/>
    </row>
    <row r="117" spans="1:49" ht="12.75" customHeight="1" x14ac:dyDescent="0.2">
      <c r="A117" s="19" t="s">
        <v>768</v>
      </c>
      <c r="B117" s="19" t="s">
        <v>769</v>
      </c>
      <c r="C117" s="34" t="s">
        <v>1015</v>
      </c>
      <c r="D117" s="34"/>
      <c r="E117" s="19" t="s">
        <v>770</v>
      </c>
      <c r="F117" s="19" t="s">
        <v>771</v>
      </c>
      <c r="G117" s="19" t="s">
        <v>153</v>
      </c>
      <c r="H117" s="19" t="s">
        <v>244</v>
      </c>
      <c r="I117" s="19" t="s">
        <v>772</v>
      </c>
      <c r="J117" s="19"/>
      <c r="K117" s="19"/>
      <c r="L117" s="19"/>
      <c r="M117" s="19"/>
      <c r="N117" s="19"/>
      <c r="O117" s="19"/>
      <c r="P117" s="34">
        <v>10</v>
      </c>
      <c r="Q117" s="34">
        <v>0</v>
      </c>
      <c r="R117" s="34">
        <v>0</v>
      </c>
      <c r="S117" s="34">
        <v>9</v>
      </c>
      <c r="T117" s="34">
        <v>0</v>
      </c>
      <c r="U117" s="19"/>
      <c r="V117" s="19"/>
      <c r="W117" s="19"/>
      <c r="X117" s="19"/>
      <c r="Y117" s="19"/>
      <c r="Z117" s="19"/>
      <c r="AA117" s="19"/>
      <c r="AB117" s="19"/>
      <c r="AC117" s="19"/>
      <c r="AD117" s="19" t="b">
        <f>OR(Glossary!$R95&gt;0,Glossary!$S95&gt;0,Glossary!$T95&gt;0)</f>
        <v>0</v>
      </c>
      <c r="AE117" s="19" t="s">
        <v>156</v>
      </c>
      <c r="AF117" s="19">
        <v>0.05</v>
      </c>
      <c r="AG117" s="19">
        <v>0.05</v>
      </c>
      <c r="AH117" s="19"/>
      <c r="AI117" s="19"/>
      <c r="AJ117" s="19"/>
      <c r="AK117" s="19">
        <v>0.05</v>
      </c>
      <c r="AL117" s="19" t="b">
        <f t="shared" si="3"/>
        <v>0</v>
      </c>
      <c r="AM117" s="19"/>
      <c r="AN117" s="19"/>
      <c r="AO117" s="19" t="s">
        <v>773</v>
      </c>
      <c r="AP117" s="19"/>
      <c r="AQ117" s="19" t="s">
        <v>73</v>
      </c>
      <c r="AR117" s="19" t="b">
        <v>1</v>
      </c>
      <c r="AS117" s="19"/>
      <c r="AT117" s="19" t="b">
        <v>1</v>
      </c>
      <c r="AU117" s="19"/>
      <c r="AV117" s="19" t="b">
        <v>1</v>
      </c>
      <c r="AW117" s="19"/>
    </row>
    <row r="118" spans="1:49" ht="12.75" customHeight="1" x14ac:dyDescent="0.2">
      <c r="A118" s="19" t="s">
        <v>774</v>
      </c>
      <c r="B118" s="19" t="s">
        <v>775</v>
      </c>
      <c r="C118" s="34" t="s">
        <v>1044</v>
      </c>
      <c r="D118" s="34"/>
      <c r="E118" s="19" t="s">
        <v>776</v>
      </c>
      <c r="F118" s="21" t="s">
        <v>777</v>
      </c>
      <c r="G118" s="19" t="s">
        <v>238</v>
      </c>
      <c r="H118" s="19"/>
      <c r="I118" s="19"/>
      <c r="J118" s="19"/>
      <c r="K118" s="19"/>
      <c r="L118" s="19"/>
      <c r="M118" s="19"/>
      <c r="N118" s="19"/>
      <c r="O118" s="19"/>
      <c r="P118" s="34">
        <v>0</v>
      </c>
      <c r="Q118" s="34">
        <v>0</v>
      </c>
      <c r="R118" s="34">
        <v>0</v>
      </c>
      <c r="S118" s="34">
        <v>0</v>
      </c>
      <c r="T118" s="34">
        <v>0</v>
      </c>
      <c r="U118" s="19"/>
      <c r="V118" s="19"/>
      <c r="W118" s="19"/>
      <c r="X118" s="19"/>
      <c r="Y118" s="19"/>
      <c r="Z118" s="19"/>
      <c r="AA118" s="19"/>
      <c r="AB118" s="19"/>
      <c r="AC118" s="19"/>
      <c r="AD118" s="19" t="b">
        <v>0</v>
      </c>
      <c r="AE118" s="19" t="b">
        <v>1</v>
      </c>
      <c r="AF118" s="19"/>
      <c r="AG118" s="19"/>
      <c r="AH118" s="19"/>
      <c r="AI118" s="19"/>
      <c r="AJ118" s="19"/>
      <c r="AK118" s="19"/>
      <c r="AL118" s="19" t="str">
        <f t="shared" si="3"/>
        <v/>
      </c>
      <c r="AM118" s="19"/>
      <c r="AN118" s="19"/>
      <c r="AO118" s="19" t="s">
        <v>778</v>
      </c>
      <c r="AP118" s="19"/>
      <c r="AQ118" s="19"/>
      <c r="AR118" s="19"/>
      <c r="AS118" s="19"/>
      <c r="AT118" s="19"/>
      <c r="AU118" s="19" t="b">
        <v>1</v>
      </c>
      <c r="AV118" s="19"/>
      <c r="AW118" s="19" t="b">
        <v>1</v>
      </c>
    </row>
    <row r="119" spans="1:49" ht="12.75" customHeight="1" x14ac:dyDescent="0.2">
      <c r="A119" s="19" t="s">
        <v>779</v>
      </c>
      <c r="B119" s="19" t="s">
        <v>780</v>
      </c>
      <c r="C119" s="34" t="s">
        <v>1016</v>
      </c>
      <c r="D119" s="34" t="s">
        <v>781</v>
      </c>
      <c r="E119" s="19" t="s">
        <v>782</v>
      </c>
      <c r="F119" s="19" t="s">
        <v>783</v>
      </c>
      <c r="G119" s="19" t="s">
        <v>83</v>
      </c>
      <c r="H119" s="19" t="s">
        <v>167</v>
      </c>
      <c r="I119" s="19"/>
      <c r="J119" s="19" t="b">
        <v>1</v>
      </c>
      <c r="K119" s="19"/>
      <c r="L119" s="19"/>
      <c r="M119" s="19"/>
      <c r="N119" s="19"/>
      <c r="O119" s="19"/>
      <c r="P119" s="34">
        <v>7</v>
      </c>
      <c r="Q119" s="34">
        <v>5</v>
      </c>
      <c r="R119" s="34">
        <v>0</v>
      </c>
      <c r="S119" s="34">
        <v>1</v>
      </c>
      <c r="T119" s="34">
        <v>0</v>
      </c>
      <c r="U119" s="19"/>
      <c r="V119" s="19"/>
      <c r="W119" s="19"/>
      <c r="X119" s="19"/>
      <c r="Y119" s="19"/>
      <c r="Z119" s="19"/>
      <c r="AA119" s="19"/>
      <c r="AB119" s="19"/>
      <c r="AC119" s="19">
        <v>2</v>
      </c>
      <c r="AD119" s="19" t="b">
        <f>OR(Glossary!$R96&gt;0,Glossary!$S96&gt;0,Glossary!$T96&gt;0)</f>
        <v>0</v>
      </c>
      <c r="AE119" s="19" t="b">
        <v>0</v>
      </c>
      <c r="AF119" s="19">
        <v>4.0000000000000001E-3</v>
      </c>
      <c r="AG119" s="19">
        <v>4.0000000000000001E-3</v>
      </c>
      <c r="AH119" s="19"/>
      <c r="AI119" s="19"/>
      <c r="AJ119" s="19"/>
      <c r="AK119" s="19">
        <v>4.0000000000000001E-3</v>
      </c>
      <c r="AL119" s="19" t="b">
        <f t="shared" si="3"/>
        <v>0</v>
      </c>
      <c r="AM119" s="19"/>
      <c r="AN119" s="19"/>
      <c r="AO119" s="19" t="s">
        <v>784</v>
      </c>
      <c r="AP119" s="19"/>
      <c r="AQ119" s="19"/>
      <c r="AR119" s="19" t="b">
        <v>1</v>
      </c>
      <c r="AS119" s="19"/>
      <c r="AT119" s="19"/>
      <c r="AU119" s="19"/>
      <c r="AV119" s="19"/>
      <c r="AW119" s="19"/>
    </row>
    <row r="120" spans="1:49" ht="12.75" customHeight="1" x14ac:dyDescent="0.2">
      <c r="A120" s="19" t="s">
        <v>785</v>
      </c>
      <c r="B120" s="19" t="s">
        <v>786</v>
      </c>
      <c r="C120" s="34" t="s">
        <v>1045</v>
      </c>
      <c r="D120" s="34"/>
      <c r="E120" s="19" t="s">
        <v>787</v>
      </c>
      <c r="F120" s="21" t="s">
        <v>788</v>
      </c>
      <c r="G120" s="19" t="s">
        <v>153</v>
      </c>
      <c r="H120" s="19" t="s">
        <v>173</v>
      </c>
      <c r="I120" s="19" t="s">
        <v>749</v>
      </c>
      <c r="J120" s="19"/>
      <c r="K120" s="19"/>
      <c r="L120" s="19"/>
      <c r="M120" s="19"/>
      <c r="N120" s="19"/>
      <c r="O120" s="19"/>
      <c r="P120" s="34">
        <v>0</v>
      </c>
      <c r="Q120" s="34">
        <v>0</v>
      </c>
      <c r="R120" s="34">
        <v>0</v>
      </c>
      <c r="S120" s="34">
        <v>0</v>
      </c>
      <c r="T120" s="34">
        <v>0</v>
      </c>
      <c r="U120" s="19"/>
      <c r="V120" s="19"/>
      <c r="W120" s="19"/>
      <c r="X120" s="19"/>
      <c r="Y120" s="19"/>
      <c r="Z120" s="19"/>
      <c r="AA120" s="19"/>
      <c r="AB120" s="19"/>
      <c r="AC120" s="19"/>
      <c r="AD120" s="19" t="b">
        <v>0</v>
      </c>
      <c r="AE120" s="19" t="s">
        <v>156</v>
      </c>
      <c r="AF120" s="19"/>
      <c r="AG120" s="19"/>
      <c r="AH120" s="19"/>
      <c r="AI120" s="19"/>
      <c r="AJ120" s="19"/>
      <c r="AK120" s="19"/>
      <c r="AL120" s="19" t="str">
        <f t="shared" si="3"/>
        <v/>
      </c>
      <c r="AM120" s="19"/>
      <c r="AN120" s="19"/>
      <c r="AO120" s="19" t="s">
        <v>789</v>
      </c>
      <c r="AP120" s="19"/>
      <c r="AQ120" s="19" t="s">
        <v>74</v>
      </c>
      <c r="AR120" s="19"/>
      <c r="AS120" s="19"/>
      <c r="AT120" s="19"/>
      <c r="AU120" s="19" t="b">
        <v>1</v>
      </c>
      <c r="AV120" s="19"/>
      <c r="AW120" s="19" t="b">
        <v>1</v>
      </c>
    </row>
    <row r="121" spans="1:49" ht="12.75" customHeight="1" x14ac:dyDescent="0.2">
      <c r="A121" s="19" t="s">
        <v>790</v>
      </c>
      <c r="B121" s="19" t="s">
        <v>791</v>
      </c>
      <c r="C121" s="34" t="s">
        <v>1017</v>
      </c>
      <c r="D121" s="34" t="s">
        <v>792</v>
      </c>
      <c r="E121" s="19" t="s">
        <v>793</v>
      </c>
      <c r="F121" s="19" t="s">
        <v>794</v>
      </c>
      <c r="G121" s="19" t="s">
        <v>83</v>
      </c>
      <c r="H121" s="19" t="s">
        <v>141</v>
      </c>
      <c r="I121" s="19" t="s">
        <v>795</v>
      </c>
      <c r="J121" s="19" t="b">
        <v>1</v>
      </c>
      <c r="K121" s="19"/>
      <c r="L121" s="19"/>
      <c r="M121" s="19"/>
      <c r="N121" s="19"/>
      <c r="O121" s="19"/>
      <c r="P121" s="34">
        <v>8</v>
      </c>
      <c r="Q121" s="34">
        <v>0</v>
      </c>
      <c r="R121" s="34">
        <v>0</v>
      </c>
      <c r="S121" s="34">
        <v>0</v>
      </c>
      <c r="T121" s="34">
        <v>0</v>
      </c>
      <c r="U121" s="19"/>
      <c r="V121" s="19"/>
      <c r="W121" s="19"/>
      <c r="X121" s="19"/>
      <c r="Y121" s="19"/>
      <c r="Z121" s="19"/>
      <c r="AA121" s="19"/>
      <c r="AB121" s="19"/>
      <c r="AC121" s="19"/>
      <c r="AD121" s="19" t="b">
        <f>OR(Glossary!$R97&gt;0,Glossary!$S97&gt;0,Glossary!$T97&gt;0)</f>
        <v>1</v>
      </c>
      <c r="AE121" s="19" t="b">
        <v>0</v>
      </c>
      <c r="AF121" s="19">
        <v>0.1</v>
      </c>
      <c r="AG121" s="19">
        <v>0.1</v>
      </c>
      <c r="AH121" s="19"/>
      <c r="AI121" s="19"/>
      <c r="AJ121" s="19"/>
      <c r="AK121" s="19"/>
      <c r="AL121" s="19" t="str">
        <f t="shared" si="3"/>
        <v/>
      </c>
      <c r="AM121" s="19"/>
      <c r="AN121" s="19"/>
      <c r="AO121" s="19" t="s">
        <v>796</v>
      </c>
      <c r="AP121" s="19"/>
      <c r="AQ121" s="19"/>
      <c r="AR121" s="19" t="b">
        <v>1</v>
      </c>
      <c r="AS121" s="19"/>
      <c r="AT121" s="19" t="b">
        <v>1</v>
      </c>
      <c r="AU121" s="19"/>
      <c r="AV121" s="19" t="b">
        <v>1</v>
      </c>
      <c r="AW121" s="19"/>
    </row>
    <row r="122" spans="1:49" ht="12.75" customHeight="1" x14ac:dyDescent="0.2">
      <c r="A122" s="19" t="s">
        <v>797</v>
      </c>
      <c r="B122" s="19" t="s">
        <v>798</v>
      </c>
      <c r="C122" s="34" t="s">
        <v>1046</v>
      </c>
      <c r="D122" s="34"/>
      <c r="E122" s="19" t="s">
        <v>799</v>
      </c>
      <c r="F122" s="21" t="s">
        <v>800</v>
      </c>
      <c r="G122" s="19" t="s">
        <v>238</v>
      </c>
      <c r="H122" s="19"/>
      <c r="I122" s="19"/>
      <c r="J122" s="19"/>
      <c r="K122" s="19"/>
      <c r="L122" s="19"/>
      <c r="M122" s="19"/>
      <c r="N122" s="19"/>
      <c r="O122" s="19"/>
      <c r="P122" s="34">
        <v>0</v>
      </c>
      <c r="Q122" s="34">
        <v>0</v>
      </c>
      <c r="R122" s="34">
        <v>0</v>
      </c>
      <c r="S122" s="34">
        <v>0</v>
      </c>
      <c r="T122" s="34">
        <v>0</v>
      </c>
      <c r="U122" s="19"/>
      <c r="V122" s="19"/>
      <c r="W122" s="19"/>
      <c r="X122" s="19"/>
      <c r="Y122" s="19"/>
      <c r="Z122" s="19"/>
      <c r="AA122" s="19"/>
      <c r="AB122" s="19"/>
      <c r="AC122" s="19"/>
      <c r="AD122" s="19" t="b">
        <v>0</v>
      </c>
      <c r="AE122" s="19" t="b">
        <v>0</v>
      </c>
      <c r="AF122" s="19"/>
      <c r="AG122" s="19"/>
      <c r="AH122" s="19"/>
      <c r="AI122" s="19">
        <v>250</v>
      </c>
      <c r="AJ122" s="19"/>
      <c r="AK122" s="19"/>
      <c r="AL122" s="19" t="str">
        <f t="shared" si="3"/>
        <v/>
      </c>
      <c r="AM122" s="19"/>
      <c r="AN122" s="19"/>
      <c r="AO122" s="19" t="s">
        <v>801</v>
      </c>
      <c r="AP122" s="19"/>
      <c r="AQ122" s="19"/>
      <c r="AR122" s="19"/>
      <c r="AS122" s="19"/>
      <c r="AT122" s="19"/>
      <c r="AU122" s="19" t="b">
        <v>1</v>
      </c>
      <c r="AV122" s="19"/>
      <c r="AW122" s="19" t="b">
        <v>1</v>
      </c>
    </row>
    <row r="123" spans="1:49" ht="12.75" customHeight="1" x14ac:dyDescent="0.2">
      <c r="A123" s="19" t="s">
        <v>802</v>
      </c>
      <c r="B123" s="19" t="s">
        <v>803</v>
      </c>
      <c r="C123" s="34" t="s">
        <v>994</v>
      </c>
      <c r="D123" s="34" t="s">
        <v>804</v>
      </c>
      <c r="E123" s="19" t="s">
        <v>805</v>
      </c>
      <c r="F123" s="19" t="s">
        <v>806</v>
      </c>
      <c r="G123" s="19" t="s">
        <v>225</v>
      </c>
      <c r="H123" s="19" t="s">
        <v>226</v>
      </c>
      <c r="I123" s="19" t="s">
        <v>227</v>
      </c>
      <c r="J123" s="19"/>
      <c r="K123" s="19"/>
      <c r="L123" s="19"/>
      <c r="M123" s="19"/>
      <c r="N123" s="19"/>
      <c r="O123" s="19"/>
      <c r="P123" s="34">
        <v>6</v>
      </c>
      <c r="Q123" s="34">
        <v>0</v>
      </c>
      <c r="R123" s="34">
        <v>0</v>
      </c>
      <c r="S123" s="34">
        <v>0</v>
      </c>
      <c r="T123" s="34">
        <v>0</v>
      </c>
      <c r="U123" s="19"/>
      <c r="V123" s="19"/>
      <c r="W123" s="19"/>
      <c r="X123" s="19">
        <v>1</v>
      </c>
      <c r="Y123" s="19"/>
      <c r="Z123" s="19"/>
      <c r="AA123" s="19"/>
      <c r="AB123" s="19"/>
      <c r="AC123" s="19"/>
      <c r="AD123" s="19" t="b">
        <f>OR(Glossary!$R98&gt;0,Glossary!$S98&gt;0,Glossary!$T98&gt;0)</f>
        <v>0</v>
      </c>
      <c r="AE123" s="19" t="b">
        <v>1</v>
      </c>
      <c r="AF123" s="19"/>
      <c r="AG123" s="19"/>
      <c r="AH123" s="19"/>
      <c r="AI123" s="19"/>
      <c r="AJ123" s="19"/>
      <c r="AK123" s="19"/>
      <c r="AL123" s="19" t="str">
        <f t="shared" si="3"/>
        <v/>
      </c>
      <c r="AM123" s="19"/>
      <c r="AN123" s="19"/>
      <c r="AO123" s="19" t="s">
        <v>807</v>
      </c>
      <c r="AP123" s="19"/>
      <c r="AQ123" s="19"/>
      <c r="AR123" s="19" t="b">
        <v>1</v>
      </c>
      <c r="AS123" s="19"/>
      <c r="AT123" s="19"/>
      <c r="AU123" s="19"/>
      <c r="AV123" s="19"/>
      <c r="AW123" s="19"/>
    </row>
    <row r="124" spans="1:49" ht="12.75" customHeight="1" x14ac:dyDescent="0.2">
      <c r="A124" s="19" t="s">
        <v>808</v>
      </c>
      <c r="B124" s="19" t="s">
        <v>809</v>
      </c>
      <c r="C124" s="34" t="s">
        <v>1018</v>
      </c>
      <c r="D124" s="34"/>
      <c r="E124" s="19" t="s">
        <v>810</v>
      </c>
      <c r="F124" s="19" t="s">
        <v>811</v>
      </c>
      <c r="G124" s="19" t="s">
        <v>225</v>
      </c>
      <c r="H124" s="19" t="s">
        <v>226</v>
      </c>
      <c r="I124" s="19" t="s">
        <v>258</v>
      </c>
      <c r="J124" s="19"/>
      <c r="K124" s="19"/>
      <c r="L124" s="19"/>
      <c r="M124" s="19"/>
      <c r="N124" s="19"/>
      <c r="O124" s="19"/>
      <c r="P124" s="34">
        <v>2</v>
      </c>
      <c r="Q124" s="34">
        <v>0</v>
      </c>
      <c r="R124" s="34">
        <v>0</v>
      </c>
      <c r="S124" s="34">
        <v>4</v>
      </c>
      <c r="T124" s="34">
        <v>0</v>
      </c>
      <c r="U124" s="19"/>
      <c r="V124" s="19"/>
      <c r="W124" s="19"/>
      <c r="X124" s="19"/>
      <c r="Y124" s="19"/>
      <c r="Z124" s="19"/>
      <c r="AA124" s="19"/>
      <c r="AB124" s="19"/>
      <c r="AC124" s="19"/>
      <c r="AD124" s="19" t="b">
        <f>OR(Glossary!$R99&gt;0,Glossary!$S99&gt;0,Glossary!$T99&gt;0)</f>
        <v>0</v>
      </c>
      <c r="AE124" s="19" t="b">
        <v>1</v>
      </c>
      <c r="AF124" s="19"/>
      <c r="AG124" s="19"/>
      <c r="AH124" s="19"/>
      <c r="AI124" s="19"/>
      <c r="AJ124" s="19"/>
      <c r="AK124" s="19"/>
      <c r="AL124" s="19" t="str">
        <f t="shared" si="3"/>
        <v/>
      </c>
      <c r="AM124" s="19"/>
      <c r="AN124" s="19"/>
      <c r="AO124" s="19" t="s">
        <v>812</v>
      </c>
      <c r="AP124" s="19"/>
      <c r="AQ124" s="19"/>
      <c r="AR124" s="19" t="b">
        <v>1</v>
      </c>
      <c r="AS124" s="19"/>
      <c r="AT124" s="19"/>
      <c r="AU124" s="19"/>
      <c r="AV124" s="19"/>
      <c r="AW124" s="19"/>
    </row>
    <row r="125" spans="1:49" ht="12.75" customHeight="1" x14ac:dyDescent="0.2">
      <c r="A125" s="19" t="s">
        <v>813</v>
      </c>
      <c r="B125" s="19" t="s">
        <v>814</v>
      </c>
      <c r="C125" s="34" t="s">
        <v>1018</v>
      </c>
      <c r="D125" s="34" t="s">
        <v>815</v>
      </c>
      <c r="E125" s="19" t="s">
        <v>816</v>
      </c>
      <c r="F125" s="19" t="s">
        <v>817</v>
      </c>
      <c r="G125" s="19" t="s">
        <v>225</v>
      </c>
      <c r="H125" s="19" t="s">
        <v>226</v>
      </c>
      <c r="I125" s="19" t="s">
        <v>258</v>
      </c>
      <c r="J125" s="19"/>
      <c r="K125" s="19"/>
      <c r="L125" s="19"/>
      <c r="M125" s="19"/>
      <c r="N125" s="19"/>
      <c r="O125" s="19"/>
      <c r="P125" s="34">
        <v>2</v>
      </c>
      <c r="Q125" s="34">
        <v>0</v>
      </c>
      <c r="R125" s="34">
        <v>0</v>
      </c>
      <c r="S125" s="34">
        <v>4</v>
      </c>
      <c r="T125" s="34">
        <v>0</v>
      </c>
      <c r="U125" s="19"/>
      <c r="V125" s="19"/>
      <c r="W125" s="19"/>
      <c r="X125" s="19"/>
      <c r="Y125" s="19"/>
      <c r="Z125" s="19"/>
      <c r="AA125" s="19"/>
      <c r="AB125" s="19"/>
      <c r="AC125" s="19"/>
      <c r="AD125" s="19" t="b">
        <f>OR(Glossary!$R100&gt;0,Glossary!$S100&gt;0,Glossary!$T100&gt;0)</f>
        <v>1</v>
      </c>
      <c r="AE125" s="19" t="b">
        <v>1</v>
      </c>
      <c r="AF125" s="19"/>
      <c r="AG125" s="19"/>
      <c r="AH125" s="19"/>
      <c r="AI125" s="19"/>
      <c r="AJ125" s="19"/>
      <c r="AK125" s="19"/>
      <c r="AL125" s="19" t="str">
        <f t="shared" si="3"/>
        <v/>
      </c>
      <c r="AM125" s="19"/>
      <c r="AN125" s="19"/>
      <c r="AO125" s="19" t="s">
        <v>818</v>
      </c>
      <c r="AP125" s="19"/>
      <c r="AQ125" s="19"/>
      <c r="AR125" s="19" t="b">
        <v>1</v>
      </c>
      <c r="AS125" s="19"/>
      <c r="AT125" s="19"/>
      <c r="AU125" s="19"/>
      <c r="AV125" s="19"/>
      <c r="AW125" s="19"/>
    </row>
    <row r="126" spans="1:49" ht="12.75" customHeight="1" x14ac:dyDescent="0.2">
      <c r="A126" s="19" t="s">
        <v>819</v>
      </c>
      <c r="B126" s="19" t="s">
        <v>820</v>
      </c>
      <c r="C126" s="34" t="s">
        <v>1019</v>
      </c>
      <c r="D126" s="34" t="s">
        <v>1056</v>
      </c>
      <c r="E126" s="19" t="s">
        <v>821</v>
      </c>
      <c r="F126" s="19" t="s">
        <v>822</v>
      </c>
      <c r="G126" s="19" t="s">
        <v>225</v>
      </c>
      <c r="H126" s="19" t="s">
        <v>330</v>
      </c>
      <c r="I126" s="19" t="s">
        <v>258</v>
      </c>
      <c r="J126" s="19"/>
      <c r="K126" s="19"/>
      <c r="L126" s="19"/>
      <c r="M126" s="19"/>
      <c r="N126" s="19"/>
      <c r="O126" s="19"/>
      <c r="P126" s="34">
        <v>2</v>
      </c>
      <c r="Q126" s="34">
        <v>0</v>
      </c>
      <c r="R126" s="34">
        <v>0</v>
      </c>
      <c r="S126" s="34">
        <v>4</v>
      </c>
      <c r="T126" s="34">
        <v>0</v>
      </c>
      <c r="U126" s="19"/>
      <c r="V126" s="19"/>
      <c r="W126" s="19"/>
      <c r="X126" s="19"/>
      <c r="Y126" s="19"/>
      <c r="Z126" s="19"/>
      <c r="AA126" s="19"/>
      <c r="AB126" s="19"/>
      <c r="AC126" s="19"/>
      <c r="AD126" s="19" t="b">
        <f>OR(Glossary!$R101&gt;0,Glossary!$S101&gt;0,Glossary!$T101&gt;0)</f>
        <v>0</v>
      </c>
      <c r="AE126" s="19" t="b">
        <v>0</v>
      </c>
      <c r="AF126" s="19">
        <v>0</v>
      </c>
      <c r="AG126" s="19">
        <v>5.0000000000000001E-3</v>
      </c>
      <c r="AH126" s="19"/>
      <c r="AI126" s="19"/>
      <c r="AJ126" s="19"/>
      <c r="AK126" s="19"/>
      <c r="AL126" s="19" t="str">
        <f t="shared" si="3"/>
        <v/>
      </c>
      <c r="AM126" s="19"/>
      <c r="AN126" s="19"/>
      <c r="AO126" s="19" t="s">
        <v>823</v>
      </c>
      <c r="AP126" s="19"/>
      <c r="AQ126" s="19"/>
      <c r="AR126" s="19" t="b">
        <v>1</v>
      </c>
      <c r="AS126" s="19"/>
      <c r="AT126" s="19" t="b">
        <v>1</v>
      </c>
      <c r="AU126" s="19"/>
      <c r="AV126" s="19" t="b">
        <v>1</v>
      </c>
      <c r="AW126" s="19"/>
    </row>
    <row r="127" spans="1:49" ht="12.75" customHeight="1" x14ac:dyDescent="0.2">
      <c r="A127" s="19" t="s">
        <v>824</v>
      </c>
      <c r="B127" s="19" t="s">
        <v>825</v>
      </c>
      <c r="C127" s="34" t="s">
        <v>1020</v>
      </c>
      <c r="D127" s="34"/>
      <c r="E127" s="19" t="s">
        <v>826</v>
      </c>
      <c r="F127" s="19" t="s">
        <v>827</v>
      </c>
      <c r="G127" s="19" t="s">
        <v>153</v>
      </c>
      <c r="H127" s="19" t="s">
        <v>173</v>
      </c>
      <c r="I127" s="19" t="s">
        <v>828</v>
      </c>
      <c r="J127" s="19"/>
      <c r="K127" s="19"/>
      <c r="L127" s="19"/>
      <c r="M127" s="19"/>
      <c r="N127" s="19"/>
      <c r="O127" s="19"/>
      <c r="P127" s="34">
        <v>10</v>
      </c>
      <c r="Q127" s="34">
        <v>0</v>
      </c>
      <c r="R127" s="34">
        <v>0</v>
      </c>
      <c r="S127" s="34">
        <v>9</v>
      </c>
      <c r="T127" s="34">
        <v>0</v>
      </c>
      <c r="U127" s="19"/>
      <c r="V127" s="19"/>
      <c r="W127" s="19"/>
      <c r="X127" s="19"/>
      <c r="Y127" s="19"/>
      <c r="Z127" s="19"/>
      <c r="AA127" s="19"/>
      <c r="AB127" s="19"/>
      <c r="AC127" s="19"/>
      <c r="AD127" s="19" t="b">
        <f>OR(Glossary!$R102&gt;0,Glossary!$S102&gt;0,Glossary!$T102&gt;0)</f>
        <v>0</v>
      </c>
      <c r="AE127" s="19" t="s">
        <v>156</v>
      </c>
      <c r="AF127" s="19">
        <v>5.0000000000000001E-4</v>
      </c>
      <c r="AG127" s="19">
        <v>2E-3</v>
      </c>
      <c r="AH127" s="19"/>
      <c r="AI127" s="19"/>
      <c r="AJ127" s="19"/>
      <c r="AK127" s="19">
        <v>2E-3</v>
      </c>
      <c r="AL127" s="19" t="b">
        <f t="shared" si="3"/>
        <v>0</v>
      </c>
      <c r="AM127" s="19"/>
      <c r="AN127" s="19"/>
      <c r="AO127" s="19" t="s">
        <v>829</v>
      </c>
      <c r="AP127" s="19"/>
      <c r="AQ127" s="19" t="s">
        <v>73</v>
      </c>
      <c r="AR127" s="19" t="b">
        <v>1</v>
      </c>
      <c r="AS127" s="19"/>
      <c r="AT127" s="19" t="b">
        <v>1</v>
      </c>
      <c r="AU127" s="19"/>
      <c r="AV127" s="19" t="b">
        <v>1</v>
      </c>
      <c r="AW127" s="19"/>
    </row>
    <row r="128" spans="1:49" ht="12.75" customHeight="1" x14ac:dyDescent="0.2">
      <c r="A128" s="19" t="s">
        <v>830</v>
      </c>
      <c r="B128" s="19" t="s">
        <v>830</v>
      </c>
      <c r="C128" s="34" t="s">
        <v>1021</v>
      </c>
      <c r="D128" s="34" t="s">
        <v>831</v>
      </c>
      <c r="E128" s="19" t="s">
        <v>832</v>
      </c>
      <c r="F128" s="19" t="s">
        <v>833</v>
      </c>
      <c r="G128" s="19" t="s">
        <v>83</v>
      </c>
      <c r="H128" s="19" t="s">
        <v>141</v>
      </c>
      <c r="I128" s="19" t="s">
        <v>289</v>
      </c>
      <c r="J128" s="19" t="b">
        <v>1</v>
      </c>
      <c r="K128" s="19" t="b">
        <v>1</v>
      </c>
      <c r="L128" s="19"/>
      <c r="M128" s="19" t="b">
        <v>1</v>
      </c>
      <c r="N128" s="19"/>
      <c r="O128" s="19"/>
      <c r="P128" s="34">
        <v>7</v>
      </c>
      <c r="Q128" s="34">
        <v>0</v>
      </c>
      <c r="R128" s="34">
        <v>0</v>
      </c>
      <c r="S128" s="34">
        <v>0</v>
      </c>
      <c r="T128" s="34">
        <v>0</v>
      </c>
      <c r="U128" s="19"/>
      <c r="V128" s="19"/>
      <c r="W128" s="19"/>
      <c r="X128" s="19"/>
      <c r="Y128" s="19"/>
      <c r="Z128" s="19"/>
      <c r="AA128" s="19"/>
      <c r="AB128" s="19"/>
      <c r="AC128" s="19"/>
      <c r="AD128" s="19" t="b">
        <f>OR(Glossary!$R103&gt;0,Glossary!$S103&gt;0,Glossary!$T103&gt;0)</f>
        <v>1</v>
      </c>
      <c r="AE128" s="19" t="b">
        <v>0</v>
      </c>
      <c r="AF128" s="19">
        <v>1</v>
      </c>
      <c r="AG128" s="19">
        <v>1</v>
      </c>
      <c r="AH128" s="19"/>
      <c r="AI128" s="19"/>
      <c r="AJ128" s="19"/>
      <c r="AK128" s="19"/>
      <c r="AL128" s="19" t="str">
        <f t="shared" si="3"/>
        <v/>
      </c>
      <c r="AM128" s="19"/>
      <c r="AN128" s="19"/>
      <c r="AO128" s="19" t="s">
        <v>834</v>
      </c>
      <c r="AP128" s="19"/>
      <c r="AQ128" s="19"/>
      <c r="AR128" s="19" t="b">
        <v>1</v>
      </c>
      <c r="AS128" s="19"/>
      <c r="AT128" s="19" t="b">
        <v>1</v>
      </c>
      <c r="AU128" s="19" t="b">
        <v>1</v>
      </c>
      <c r="AV128" s="19" t="b">
        <v>1</v>
      </c>
      <c r="AW128" s="19"/>
    </row>
    <row r="129" spans="1:49" ht="12.75" customHeight="1" x14ac:dyDescent="0.2">
      <c r="A129" s="19" t="s">
        <v>835</v>
      </c>
      <c r="B129" s="19" t="s">
        <v>836</v>
      </c>
      <c r="C129" s="34" t="s">
        <v>526</v>
      </c>
      <c r="D129" s="34"/>
      <c r="E129" s="19"/>
      <c r="F129" s="19"/>
      <c r="G129" s="19" t="s">
        <v>407</v>
      </c>
      <c r="H129" s="19"/>
      <c r="I129" s="19"/>
      <c r="J129" s="19"/>
      <c r="K129" s="19"/>
      <c r="L129" s="19"/>
      <c r="M129" s="19"/>
      <c r="N129" s="19"/>
      <c r="O129" s="19"/>
      <c r="P129" s="34" t="s">
        <v>526</v>
      </c>
      <c r="Q129" s="34" t="s">
        <v>526</v>
      </c>
      <c r="R129" s="34" t="s">
        <v>526</v>
      </c>
      <c r="S129" s="34" t="s">
        <v>526</v>
      </c>
      <c r="T129" s="34" t="s">
        <v>526</v>
      </c>
      <c r="U129" s="19"/>
      <c r="V129" s="19"/>
      <c r="W129" s="19"/>
      <c r="X129" s="19"/>
      <c r="Y129" s="19"/>
      <c r="Z129" s="19"/>
      <c r="AA129" s="19"/>
      <c r="AB129" s="19"/>
      <c r="AC129" s="19"/>
      <c r="AD129" s="19" t="s">
        <v>156</v>
      </c>
      <c r="AE129" s="19" t="s">
        <v>156</v>
      </c>
      <c r="AF129" s="19"/>
      <c r="AG129" s="19"/>
      <c r="AH129" s="19"/>
      <c r="AI129" s="19"/>
      <c r="AJ129" s="19"/>
      <c r="AK129" s="19"/>
      <c r="AL129" s="19" t="str">
        <f t="shared" si="3"/>
        <v/>
      </c>
      <c r="AM129" s="19"/>
      <c r="AN129" s="19"/>
      <c r="AO129" s="19" t="s">
        <v>837</v>
      </c>
      <c r="AP129" s="19"/>
      <c r="AQ129" s="19"/>
      <c r="AR129" s="19"/>
      <c r="AS129" s="19"/>
      <c r="AT129" s="19"/>
      <c r="AU129" s="19" t="b">
        <v>1</v>
      </c>
      <c r="AV129" s="19" t="b">
        <v>1</v>
      </c>
      <c r="AW129" s="19"/>
    </row>
    <row r="130" spans="1:49" ht="12.75" customHeight="1" x14ac:dyDescent="0.2">
      <c r="A130" s="19" t="s">
        <v>838</v>
      </c>
      <c r="B130" s="19" t="s">
        <v>839</v>
      </c>
      <c r="C130" s="34" t="s">
        <v>526</v>
      </c>
      <c r="D130" s="34"/>
      <c r="E130" s="19"/>
      <c r="F130" s="19"/>
      <c r="G130" s="19" t="s">
        <v>407</v>
      </c>
      <c r="H130" s="19"/>
      <c r="I130" s="19"/>
      <c r="J130" s="19"/>
      <c r="K130" s="19"/>
      <c r="L130" s="19"/>
      <c r="M130" s="19"/>
      <c r="N130" s="19"/>
      <c r="O130" s="19"/>
      <c r="P130" s="34" t="s">
        <v>526</v>
      </c>
      <c r="Q130" s="34" t="s">
        <v>526</v>
      </c>
      <c r="R130" s="34" t="s">
        <v>526</v>
      </c>
      <c r="S130" s="34" t="s">
        <v>526</v>
      </c>
      <c r="T130" s="34" t="s">
        <v>526</v>
      </c>
      <c r="U130" s="19"/>
      <c r="V130" s="19"/>
      <c r="W130" s="19"/>
      <c r="X130" s="19"/>
      <c r="Y130" s="19"/>
      <c r="Z130" s="19"/>
      <c r="AA130" s="19"/>
      <c r="AB130" s="19"/>
      <c r="AC130" s="19"/>
      <c r="AD130" s="19" t="s">
        <v>156</v>
      </c>
      <c r="AE130" s="19" t="s">
        <v>156</v>
      </c>
      <c r="AF130" s="19"/>
      <c r="AG130" s="19"/>
      <c r="AH130" s="19"/>
      <c r="AI130" s="19"/>
      <c r="AJ130" s="19"/>
      <c r="AK130" s="19"/>
      <c r="AL130" s="19" t="str">
        <f t="shared" ref="AL130:AL153" si="4">IF(ISBLANK(AK130),"",AK130&lt;AG130)</f>
        <v/>
      </c>
      <c r="AM130" s="19"/>
      <c r="AN130" s="19"/>
      <c r="AO130" s="19" t="s">
        <v>840</v>
      </c>
      <c r="AP130" s="19"/>
      <c r="AQ130" s="19"/>
      <c r="AR130" s="19"/>
      <c r="AS130" s="19"/>
      <c r="AT130" s="19"/>
      <c r="AU130" s="19" t="b">
        <v>1</v>
      </c>
      <c r="AV130" s="19"/>
      <c r="AW130" s="23" t="s">
        <v>841</v>
      </c>
    </row>
    <row r="131" spans="1:49" ht="12.75" customHeight="1" x14ac:dyDescent="0.2">
      <c r="A131" s="19" t="s">
        <v>842</v>
      </c>
      <c r="B131" s="19" t="s">
        <v>843</v>
      </c>
      <c r="C131" s="34" t="s">
        <v>526</v>
      </c>
      <c r="D131" s="34" t="s">
        <v>1057</v>
      </c>
      <c r="E131" s="19"/>
      <c r="F131" s="19"/>
      <c r="G131" s="19" t="s">
        <v>844</v>
      </c>
      <c r="H131" s="19" t="s">
        <v>845</v>
      </c>
      <c r="I131" s="19"/>
      <c r="J131" s="19"/>
      <c r="K131" s="19"/>
      <c r="L131" s="19" t="b">
        <v>1</v>
      </c>
      <c r="M131" s="19"/>
      <c r="N131" s="19"/>
      <c r="O131" s="19"/>
      <c r="P131" s="34" t="s">
        <v>526</v>
      </c>
      <c r="Q131" s="34" t="s">
        <v>526</v>
      </c>
      <c r="R131" s="34" t="s">
        <v>526</v>
      </c>
      <c r="S131" s="34" t="s">
        <v>526</v>
      </c>
      <c r="T131" s="34" t="s">
        <v>526</v>
      </c>
      <c r="U131" s="19"/>
      <c r="V131" s="19"/>
      <c r="W131" s="19"/>
      <c r="X131" s="19"/>
      <c r="Y131" s="19"/>
      <c r="Z131" s="19"/>
      <c r="AA131" s="19"/>
      <c r="AB131" s="19"/>
      <c r="AC131" s="19"/>
      <c r="AD131" s="19" t="b">
        <v>1</v>
      </c>
      <c r="AE131" s="19" t="b">
        <v>0</v>
      </c>
      <c r="AF131" s="19"/>
      <c r="AG131" s="19">
        <v>0.06</v>
      </c>
      <c r="AH131" s="19" t="s">
        <v>846</v>
      </c>
      <c r="AI131" s="19"/>
      <c r="AJ131" s="19"/>
      <c r="AK131" s="22"/>
      <c r="AL131" s="22" t="str">
        <f t="shared" si="4"/>
        <v/>
      </c>
      <c r="AM131" s="19"/>
      <c r="AN131" s="19"/>
      <c r="AO131" s="19" t="s">
        <v>847</v>
      </c>
      <c r="AP131" s="19"/>
      <c r="AQ131" s="19"/>
      <c r="AR131" s="19"/>
      <c r="AS131" s="19"/>
      <c r="AT131" s="19" t="b">
        <v>1</v>
      </c>
      <c r="AU131" s="19"/>
      <c r="AV131" s="19" t="b">
        <v>1</v>
      </c>
      <c r="AW131" s="19"/>
    </row>
    <row r="132" spans="1:49" ht="12.75" customHeight="1" x14ac:dyDescent="0.2">
      <c r="A132" s="19" t="s">
        <v>848</v>
      </c>
      <c r="B132" s="19" t="s">
        <v>849</v>
      </c>
      <c r="C132" s="34" t="s">
        <v>526</v>
      </c>
      <c r="D132" s="34" t="s">
        <v>850</v>
      </c>
      <c r="E132" s="19" t="s">
        <v>526</v>
      </c>
      <c r="F132" s="19" t="s">
        <v>526</v>
      </c>
      <c r="G132" s="19" t="s">
        <v>844</v>
      </c>
      <c r="H132" s="19" t="s">
        <v>851</v>
      </c>
      <c r="I132" s="19"/>
      <c r="J132" s="19"/>
      <c r="K132" s="19"/>
      <c r="L132" s="19"/>
      <c r="M132" s="19" t="b">
        <v>1</v>
      </c>
      <c r="N132" s="19"/>
      <c r="O132" s="19"/>
      <c r="P132" s="34" t="s">
        <v>526</v>
      </c>
      <c r="Q132" s="34" t="s">
        <v>526</v>
      </c>
      <c r="R132" s="34" t="s">
        <v>526</v>
      </c>
      <c r="S132" s="34" t="s">
        <v>526</v>
      </c>
      <c r="T132" s="34" t="s">
        <v>526</v>
      </c>
      <c r="U132" s="19"/>
      <c r="V132" s="19"/>
      <c r="W132" s="19"/>
      <c r="X132" s="19"/>
      <c r="Y132" s="19"/>
      <c r="Z132" s="19"/>
      <c r="AA132" s="19"/>
      <c r="AB132" s="19"/>
      <c r="AC132" s="19"/>
      <c r="AD132" s="19" t="b">
        <f>OR(Glossary!$R104&gt;0,Glossary!$S104&gt;0,Glossary!$T104&gt;0)</f>
        <v>1</v>
      </c>
      <c r="AE132" s="19" t="s">
        <v>156</v>
      </c>
      <c r="AF132" s="19"/>
      <c r="AG132" s="19"/>
      <c r="AH132" s="19"/>
      <c r="AI132" s="19"/>
      <c r="AJ132" s="19"/>
      <c r="AK132" s="19"/>
      <c r="AL132" s="19" t="str">
        <f t="shared" si="4"/>
        <v/>
      </c>
      <c r="AM132" s="19"/>
      <c r="AN132" s="19"/>
      <c r="AO132" s="19" t="s">
        <v>852</v>
      </c>
      <c r="AP132" s="19"/>
      <c r="AQ132" s="19"/>
      <c r="AR132" s="19" t="b">
        <v>1</v>
      </c>
      <c r="AS132" s="19"/>
      <c r="AT132" s="19" t="b">
        <v>1</v>
      </c>
      <c r="AU132" s="19" t="b">
        <v>1</v>
      </c>
      <c r="AV132" s="19" t="b">
        <v>1</v>
      </c>
      <c r="AW132" s="19"/>
    </row>
    <row r="133" spans="1:49" ht="12.75" customHeight="1" x14ac:dyDescent="0.2">
      <c r="A133" s="19" t="s">
        <v>853</v>
      </c>
      <c r="B133" s="19" t="s">
        <v>854</v>
      </c>
      <c r="C133" s="34" t="s">
        <v>526</v>
      </c>
      <c r="D133" s="34" t="s">
        <v>1058</v>
      </c>
      <c r="E133" s="19"/>
      <c r="F133" s="19"/>
      <c r="G133" s="19" t="s">
        <v>844</v>
      </c>
      <c r="H133" s="19" t="s">
        <v>851</v>
      </c>
      <c r="I133" s="19"/>
      <c r="J133" s="19"/>
      <c r="K133" s="19"/>
      <c r="L133" s="19"/>
      <c r="M133" s="19"/>
      <c r="N133" s="19"/>
      <c r="O133" s="19"/>
      <c r="P133" s="34" t="s">
        <v>526</v>
      </c>
      <c r="Q133" s="34" t="s">
        <v>526</v>
      </c>
      <c r="R133" s="34" t="s">
        <v>526</v>
      </c>
      <c r="S133" s="34" t="s">
        <v>526</v>
      </c>
      <c r="T133" s="34" t="s">
        <v>526</v>
      </c>
      <c r="U133" s="19"/>
      <c r="V133" s="19"/>
      <c r="W133" s="19"/>
      <c r="X133" s="19"/>
      <c r="Y133" s="19"/>
      <c r="Z133" s="19"/>
      <c r="AA133" s="19"/>
      <c r="AB133" s="19"/>
      <c r="AC133" s="19"/>
      <c r="AD133" s="19" t="s">
        <v>156</v>
      </c>
      <c r="AE133" s="19" t="s">
        <v>156</v>
      </c>
      <c r="AF133" s="19"/>
      <c r="AG133" s="19"/>
      <c r="AH133" s="19"/>
      <c r="AI133" s="19"/>
      <c r="AJ133" s="19"/>
      <c r="AK133" s="19"/>
      <c r="AL133" s="19" t="str">
        <f t="shared" si="4"/>
        <v/>
      </c>
      <c r="AM133" s="19"/>
      <c r="AN133" s="19"/>
      <c r="AO133" s="19"/>
      <c r="AP133" s="19"/>
      <c r="AQ133" s="19"/>
      <c r="AR133" s="19"/>
      <c r="AS133" s="19"/>
      <c r="AT133" s="19"/>
      <c r="AU133" s="19"/>
      <c r="AV133" s="19" t="b">
        <v>1</v>
      </c>
      <c r="AW133" s="19"/>
    </row>
    <row r="134" spans="1:49" ht="12.75" customHeight="1" x14ac:dyDescent="0.2">
      <c r="A134" s="19" t="s">
        <v>855</v>
      </c>
      <c r="B134" s="19" t="s">
        <v>856</v>
      </c>
      <c r="C134" s="34" t="s">
        <v>526</v>
      </c>
      <c r="D134" s="34" t="s">
        <v>1059</v>
      </c>
      <c r="E134" s="19" t="s">
        <v>526</v>
      </c>
      <c r="F134" s="19" t="s">
        <v>526</v>
      </c>
      <c r="G134" s="19" t="s">
        <v>844</v>
      </c>
      <c r="H134" s="19" t="s">
        <v>851</v>
      </c>
      <c r="I134" s="19"/>
      <c r="J134" s="19"/>
      <c r="K134" s="19"/>
      <c r="L134" s="19"/>
      <c r="M134" s="19" t="b">
        <v>1</v>
      </c>
      <c r="N134" s="19"/>
      <c r="O134" s="19"/>
      <c r="P134" s="34" t="s">
        <v>526</v>
      </c>
      <c r="Q134" s="34" t="s">
        <v>526</v>
      </c>
      <c r="R134" s="34" t="s">
        <v>526</v>
      </c>
      <c r="S134" s="34" t="s">
        <v>526</v>
      </c>
      <c r="T134" s="34" t="s">
        <v>526</v>
      </c>
      <c r="U134" s="19"/>
      <c r="V134" s="19"/>
      <c r="W134" s="19"/>
      <c r="X134" s="19"/>
      <c r="Y134" s="19"/>
      <c r="Z134" s="19"/>
      <c r="AA134" s="19"/>
      <c r="AB134" s="19"/>
      <c r="AC134" s="19"/>
      <c r="AD134" s="19" t="s">
        <v>156</v>
      </c>
      <c r="AE134" s="19" t="s">
        <v>156</v>
      </c>
      <c r="AF134" s="19"/>
      <c r="AG134" s="19"/>
      <c r="AH134" s="19"/>
      <c r="AI134" s="19"/>
      <c r="AJ134" s="19"/>
      <c r="AK134" s="19"/>
      <c r="AL134" s="19" t="str">
        <f t="shared" si="4"/>
        <v/>
      </c>
      <c r="AM134" s="19"/>
      <c r="AN134" s="19"/>
      <c r="AO134" s="19" t="s">
        <v>857</v>
      </c>
      <c r="AP134" s="19"/>
      <c r="AQ134" s="19"/>
      <c r="AR134" s="19" t="b">
        <v>1</v>
      </c>
      <c r="AS134" s="19"/>
      <c r="AT134" s="19" t="b">
        <v>1</v>
      </c>
      <c r="AU134" s="19" t="b">
        <v>1</v>
      </c>
      <c r="AV134" s="19" t="b">
        <v>1</v>
      </c>
      <c r="AW134" s="19"/>
    </row>
    <row r="135" spans="1:49" ht="12.75" customHeight="1" x14ac:dyDescent="0.2">
      <c r="A135" s="19" t="s">
        <v>858</v>
      </c>
      <c r="B135" s="19" t="s">
        <v>859</v>
      </c>
      <c r="C135" s="34" t="s">
        <v>526</v>
      </c>
      <c r="D135" s="34" t="s">
        <v>860</v>
      </c>
      <c r="E135" s="19" t="s">
        <v>526</v>
      </c>
      <c r="F135" s="19" t="s">
        <v>526</v>
      </c>
      <c r="G135" s="19" t="s">
        <v>844</v>
      </c>
      <c r="H135" s="19" t="s">
        <v>851</v>
      </c>
      <c r="I135" s="19"/>
      <c r="J135" s="19"/>
      <c r="K135" s="19"/>
      <c r="L135" s="19"/>
      <c r="M135" s="19" t="b">
        <v>1</v>
      </c>
      <c r="N135" s="19"/>
      <c r="O135" s="19"/>
      <c r="P135" s="34" t="s">
        <v>526</v>
      </c>
      <c r="Q135" s="34" t="s">
        <v>526</v>
      </c>
      <c r="R135" s="34" t="s">
        <v>526</v>
      </c>
      <c r="S135" s="34" t="s">
        <v>526</v>
      </c>
      <c r="T135" s="34" t="s">
        <v>526</v>
      </c>
      <c r="U135" s="19"/>
      <c r="V135" s="19"/>
      <c r="W135" s="19"/>
      <c r="X135" s="19"/>
      <c r="Y135" s="19"/>
      <c r="Z135" s="19"/>
      <c r="AA135" s="19"/>
      <c r="AB135" s="19"/>
      <c r="AC135" s="19"/>
      <c r="AD135" s="19" t="s">
        <v>156</v>
      </c>
      <c r="AE135" s="19" t="s">
        <v>156</v>
      </c>
      <c r="AF135" s="19"/>
      <c r="AG135" s="19"/>
      <c r="AH135" s="19"/>
      <c r="AI135" s="19"/>
      <c r="AJ135" s="19"/>
      <c r="AK135" s="19"/>
      <c r="AL135" s="19" t="str">
        <f t="shared" si="4"/>
        <v/>
      </c>
      <c r="AM135" s="19"/>
      <c r="AN135" s="19"/>
      <c r="AO135" s="19" t="s">
        <v>857</v>
      </c>
      <c r="AP135" s="19"/>
      <c r="AQ135" s="19"/>
      <c r="AR135" s="19" t="b">
        <v>1</v>
      </c>
      <c r="AS135" s="19"/>
      <c r="AT135" s="19"/>
      <c r="AU135" s="19"/>
      <c r="AV135" s="19"/>
      <c r="AW135" s="19"/>
    </row>
    <row r="136" spans="1:49" ht="12.75" customHeight="1" x14ac:dyDescent="0.2">
      <c r="A136" s="19" t="s">
        <v>861</v>
      </c>
      <c r="B136" s="19" t="s">
        <v>862</v>
      </c>
      <c r="C136" s="34" t="s">
        <v>526</v>
      </c>
      <c r="D136" s="34" t="s">
        <v>1060</v>
      </c>
      <c r="E136" s="19" t="s">
        <v>526</v>
      </c>
      <c r="F136" s="19" t="s">
        <v>526</v>
      </c>
      <c r="G136" s="19" t="s">
        <v>844</v>
      </c>
      <c r="H136" s="19" t="s">
        <v>851</v>
      </c>
      <c r="I136" s="19"/>
      <c r="J136" s="19"/>
      <c r="K136" s="19"/>
      <c r="L136" s="19"/>
      <c r="M136" s="19"/>
      <c r="N136" s="19"/>
      <c r="O136" s="19"/>
      <c r="P136" s="34" t="s">
        <v>526</v>
      </c>
      <c r="Q136" s="34" t="s">
        <v>526</v>
      </c>
      <c r="R136" s="34" t="s">
        <v>526</v>
      </c>
      <c r="S136" s="34" t="s">
        <v>526</v>
      </c>
      <c r="T136" s="34" t="s">
        <v>526</v>
      </c>
      <c r="U136" s="19"/>
      <c r="V136" s="19"/>
      <c r="W136" s="19"/>
      <c r="X136" s="19"/>
      <c r="Y136" s="19"/>
      <c r="Z136" s="19"/>
      <c r="AA136" s="19"/>
      <c r="AB136" s="19"/>
      <c r="AC136" s="19"/>
      <c r="AD136" s="19" t="s">
        <v>156</v>
      </c>
      <c r="AE136" s="19" t="s">
        <v>156</v>
      </c>
      <c r="AF136" s="19"/>
      <c r="AG136" s="19"/>
      <c r="AH136" s="19"/>
      <c r="AI136" s="19"/>
      <c r="AJ136" s="19"/>
      <c r="AK136" s="19"/>
      <c r="AL136" s="19" t="str">
        <f t="shared" si="4"/>
        <v/>
      </c>
      <c r="AM136" s="19"/>
      <c r="AN136" s="19"/>
      <c r="AO136" s="19" t="s">
        <v>857</v>
      </c>
      <c r="AP136" s="19"/>
      <c r="AQ136" s="19"/>
      <c r="AR136" s="19" t="b">
        <v>1</v>
      </c>
      <c r="AS136" s="19"/>
      <c r="AT136" s="19" t="b">
        <v>1</v>
      </c>
      <c r="AU136" s="19" t="b">
        <v>1</v>
      </c>
      <c r="AV136" s="19" t="b">
        <v>1</v>
      </c>
      <c r="AW136" s="19"/>
    </row>
    <row r="137" spans="1:49" ht="12.75" customHeight="1" x14ac:dyDescent="0.2">
      <c r="A137" s="19" t="s">
        <v>863</v>
      </c>
      <c r="B137" s="19" t="s">
        <v>864</v>
      </c>
      <c r="C137" s="34" t="s">
        <v>526</v>
      </c>
      <c r="D137" s="34" t="s">
        <v>1061</v>
      </c>
      <c r="E137" s="19" t="s">
        <v>526</v>
      </c>
      <c r="F137" s="19" t="s">
        <v>526</v>
      </c>
      <c r="G137" s="19" t="s">
        <v>844</v>
      </c>
      <c r="H137" s="19" t="s">
        <v>851</v>
      </c>
      <c r="I137" s="19"/>
      <c r="J137" s="19"/>
      <c r="K137" s="19"/>
      <c r="L137" s="19"/>
      <c r="M137" s="19"/>
      <c r="N137" s="19"/>
      <c r="O137" s="19"/>
      <c r="P137" s="34" t="s">
        <v>526</v>
      </c>
      <c r="Q137" s="34" t="s">
        <v>526</v>
      </c>
      <c r="R137" s="34" t="s">
        <v>526</v>
      </c>
      <c r="S137" s="34" t="s">
        <v>526</v>
      </c>
      <c r="T137" s="34" t="s">
        <v>526</v>
      </c>
      <c r="U137" s="19"/>
      <c r="V137" s="19"/>
      <c r="W137" s="19"/>
      <c r="X137" s="19"/>
      <c r="Y137" s="19"/>
      <c r="Z137" s="19"/>
      <c r="AA137" s="19"/>
      <c r="AB137" s="19"/>
      <c r="AC137" s="19"/>
      <c r="AD137" s="19" t="s">
        <v>156</v>
      </c>
      <c r="AE137" s="19" t="s">
        <v>156</v>
      </c>
      <c r="AF137" s="19"/>
      <c r="AG137" s="19"/>
      <c r="AH137" s="19"/>
      <c r="AI137" s="19"/>
      <c r="AJ137" s="19"/>
      <c r="AK137" s="19"/>
      <c r="AL137" s="19" t="str">
        <f t="shared" si="4"/>
        <v/>
      </c>
      <c r="AM137" s="19"/>
      <c r="AN137" s="19"/>
      <c r="AO137" s="19" t="s">
        <v>857</v>
      </c>
      <c r="AP137" s="19"/>
      <c r="AQ137" s="19"/>
      <c r="AR137" s="19" t="b">
        <v>1</v>
      </c>
      <c r="AS137" s="19"/>
      <c r="AT137" s="19" t="b">
        <v>1</v>
      </c>
      <c r="AU137" s="19" t="b">
        <v>1</v>
      </c>
      <c r="AV137" s="19" t="b">
        <v>1</v>
      </c>
      <c r="AW137" s="19"/>
    </row>
    <row r="138" spans="1:49" ht="12.75" customHeight="1" x14ac:dyDescent="0.2">
      <c r="A138" s="19" t="s">
        <v>865</v>
      </c>
      <c r="B138" s="19" t="s">
        <v>866</v>
      </c>
      <c r="C138" s="34" t="s">
        <v>526</v>
      </c>
      <c r="D138" s="34" t="s">
        <v>867</v>
      </c>
      <c r="E138" s="19" t="s">
        <v>526</v>
      </c>
      <c r="F138" s="19" t="s">
        <v>526</v>
      </c>
      <c r="G138" s="19" t="s">
        <v>844</v>
      </c>
      <c r="H138" s="19" t="s">
        <v>851</v>
      </c>
      <c r="I138" s="19"/>
      <c r="J138" s="19"/>
      <c r="K138" s="19"/>
      <c r="L138" s="19"/>
      <c r="M138" s="19"/>
      <c r="N138" s="19"/>
      <c r="O138" s="19"/>
      <c r="P138" s="34" t="s">
        <v>526</v>
      </c>
      <c r="Q138" s="34" t="s">
        <v>526</v>
      </c>
      <c r="R138" s="34" t="s">
        <v>526</v>
      </c>
      <c r="S138" s="34" t="s">
        <v>526</v>
      </c>
      <c r="T138" s="34" t="s">
        <v>526</v>
      </c>
      <c r="U138" s="19"/>
      <c r="V138" s="19"/>
      <c r="W138" s="19"/>
      <c r="X138" s="19"/>
      <c r="Y138" s="19"/>
      <c r="Z138" s="19"/>
      <c r="AA138" s="19"/>
      <c r="AB138" s="19"/>
      <c r="AC138" s="19"/>
      <c r="AD138" s="19" t="s">
        <v>156</v>
      </c>
      <c r="AE138" s="19" t="s">
        <v>156</v>
      </c>
      <c r="AF138" s="19"/>
      <c r="AG138" s="19"/>
      <c r="AH138" s="19"/>
      <c r="AI138" s="19"/>
      <c r="AJ138" s="19"/>
      <c r="AK138" s="19"/>
      <c r="AL138" s="19" t="str">
        <f t="shared" si="4"/>
        <v/>
      </c>
      <c r="AM138" s="19"/>
      <c r="AN138" s="19"/>
      <c r="AO138" s="19" t="s">
        <v>857</v>
      </c>
      <c r="AP138" s="19"/>
      <c r="AQ138" s="19"/>
      <c r="AR138" s="19" t="b">
        <v>1</v>
      </c>
      <c r="AS138" s="19"/>
      <c r="AT138" s="19"/>
      <c r="AU138" s="19"/>
      <c r="AV138" s="19"/>
      <c r="AW138" s="19"/>
    </row>
    <row r="139" spans="1:49" ht="12.75" customHeight="1" x14ac:dyDescent="0.2">
      <c r="A139" s="19" t="s">
        <v>868</v>
      </c>
      <c r="B139" s="19" t="s">
        <v>869</v>
      </c>
      <c r="C139" s="34" t="s">
        <v>526</v>
      </c>
      <c r="D139" s="34" t="s">
        <v>870</v>
      </c>
      <c r="E139" s="19" t="s">
        <v>526</v>
      </c>
      <c r="F139" s="19" t="s">
        <v>526</v>
      </c>
      <c r="G139" s="19" t="s">
        <v>844</v>
      </c>
      <c r="H139" s="19" t="s">
        <v>845</v>
      </c>
      <c r="I139" s="19"/>
      <c r="J139" s="19"/>
      <c r="K139" s="19"/>
      <c r="L139" s="19" t="b">
        <v>1</v>
      </c>
      <c r="M139" s="19"/>
      <c r="N139" s="19"/>
      <c r="O139" s="19"/>
      <c r="P139" s="34">
        <v>1</v>
      </c>
      <c r="Q139" s="34">
        <v>0</v>
      </c>
      <c r="R139" s="34">
        <v>0</v>
      </c>
      <c r="S139" s="35" t="s">
        <v>1049</v>
      </c>
      <c r="T139" s="35" t="s">
        <v>1049</v>
      </c>
      <c r="U139" s="19"/>
      <c r="V139" s="19"/>
      <c r="W139" s="19"/>
      <c r="X139" s="19"/>
      <c r="Y139" s="19"/>
      <c r="Z139" s="19"/>
      <c r="AA139" s="19"/>
      <c r="AB139" s="19"/>
      <c r="AC139" s="19"/>
      <c r="AD139" s="19" t="b">
        <v>1</v>
      </c>
      <c r="AE139" s="19" t="b">
        <v>1</v>
      </c>
      <c r="AF139" s="19"/>
      <c r="AG139" s="19">
        <v>0.08</v>
      </c>
      <c r="AH139" s="19" t="s">
        <v>846</v>
      </c>
      <c r="AI139" s="19"/>
      <c r="AJ139" s="19"/>
      <c r="AK139" s="19">
        <v>0.08</v>
      </c>
      <c r="AL139" s="19" t="b">
        <f t="shared" si="4"/>
        <v>0</v>
      </c>
      <c r="AM139" s="19"/>
      <c r="AN139" s="19"/>
      <c r="AO139" s="19" t="s">
        <v>871</v>
      </c>
      <c r="AP139" s="19"/>
      <c r="AQ139" s="19"/>
      <c r="AR139" s="19" t="b">
        <v>1</v>
      </c>
      <c r="AS139" s="19"/>
      <c r="AT139" s="19" t="b">
        <v>1</v>
      </c>
      <c r="AU139" s="19" t="b">
        <v>1</v>
      </c>
      <c r="AV139" s="19" t="b">
        <v>1</v>
      </c>
      <c r="AW139" s="19"/>
    </row>
    <row r="140" spans="1:49" ht="12.75" customHeight="1" x14ac:dyDescent="0.2">
      <c r="A140" s="19" t="s">
        <v>872</v>
      </c>
      <c r="B140" s="19" t="s">
        <v>873</v>
      </c>
      <c r="C140" s="34" t="s">
        <v>1047</v>
      </c>
      <c r="D140" s="34"/>
      <c r="E140" s="19"/>
      <c r="F140" s="19"/>
      <c r="G140" s="19" t="s">
        <v>225</v>
      </c>
      <c r="H140" s="19" t="s">
        <v>226</v>
      </c>
      <c r="I140" s="19" t="s">
        <v>258</v>
      </c>
      <c r="J140" s="19"/>
      <c r="K140" s="19"/>
      <c r="L140" s="19" t="b">
        <v>1</v>
      </c>
      <c r="M140" s="19"/>
      <c r="N140" s="19"/>
      <c r="O140" s="19"/>
      <c r="P140" s="34">
        <v>2</v>
      </c>
      <c r="Q140" s="34">
        <v>0</v>
      </c>
      <c r="R140" s="34">
        <v>0</v>
      </c>
      <c r="S140" s="34">
        <v>0</v>
      </c>
      <c r="T140" s="34">
        <v>3</v>
      </c>
      <c r="U140" s="19"/>
      <c r="V140" s="19"/>
      <c r="W140" s="19"/>
      <c r="X140" s="19"/>
      <c r="Y140" s="19"/>
      <c r="Z140" s="19"/>
      <c r="AA140" s="19"/>
      <c r="AB140" s="19"/>
      <c r="AC140" s="19"/>
      <c r="AD140" s="19" t="b">
        <v>1</v>
      </c>
      <c r="AE140" s="19" t="b">
        <v>0</v>
      </c>
      <c r="AF140" s="19"/>
      <c r="AG140" s="19"/>
      <c r="AH140" s="19"/>
      <c r="AI140" s="19"/>
      <c r="AJ140" s="19"/>
      <c r="AK140" s="19"/>
      <c r="AL140" s="19" t="str">
        <f t="shared" si="4"/>
        <v/>
      </c>
      <c r="AM140" s="19"/>
      <c r="AN140" s="19"/>
      <c r="AO140" s="19" t="s">
        <v>425</v>
      </c>
      <c r="AP140" s="19"/>
      <c r="AQ140" s="19"/>
      <c r="AR140" s="19"/>
      <c r="AS140" s="19"/>
      <c r="AT140" s="19"/>
      <c r="AU140" s="19"/>
      <c r="AV140" s="19" t="b">
        <v>1</v>
      </c>
      <c r="AW140" s="19"/>
    </row>
    <row r="141" spans="1:49" ht="12.75" customHeight="1" x14ac:dyDescent="0.2">
      <c r="A141" s="19" t="s">
        <v>874</v>
      </c>
      <c r="B141" s="19" t="s">
        <v>875</v>
      </c>
      <c r="C141" s="34" t="s">
        <v>1022</v>
      </c>
      <c r="D141" s="34"/>
      <c r="E141" s="19" t="s">
        <v>876</v>
      </c>
      <c r="F141" s="19" t="s">
        <v>877</v>
      </c>
      <c r="G141" s="19" t="s">
        <v>83</v>
      </c>
      <c r="H141" s="19" t="s">
        <v>141</v>
      </c>
      <c r="I141" s="19" t="s">
        <v>100</v>
      </c>
      <c r="J141" s="19" t="b">
        <v>1</v>
      </c>
      <c r="K141" s="19"/>
      <c r="L141" s="19"/>
      <c r="M141" s="19"/>
      <c r="N141" s="19"/>
      <c r="O141" s="19"/>
      <c r="P141" s="34">
        <v>6</v>
      </c>
      <c r="Q141" s="34">
        <v>0</v>
      </c>
      <c r="R141" s="34">
        <v>0</v>
      </c>
      <c r="S141" s="34">
        <v>3</v>
      </c>
      <c r="T141" s="34">
        <v>0</v>
      </c>
      <c r="U141" s="19"/>
      <c r="V141" s="19"/>
      <c r="W141" s="19"/>
      <c r="X141" s="19"/>
      <c r="Y141" s="19"/>
      <c r="Z141" s="19"/>
      <c r="AA141" s="19"/>
      <c r="AB141" s="19"/>
      <c r="AC141" s="19"/>
      <c r="AD141" s="19" t="b">
        <f>OR(Glossary!$R111&gt;0,Glossary!$S111&gt;0,Glossary!$T111&gt;0)</f>
        <v>0</v>
      </c>
      <c r="AE141" s="19" t="b">
        <v>0</v>
      </c>
      <c r="AF141" s="19"/>
      <c r="AG141" s="19"/>
      <c r="AH141" s="19"/>
      <c r="AI141" s="19"/>
      <c r="AJ141" s="19"/>
      <c r="AK141" s="19"/>
      <c r="AL141" s="19" t="str">
        <f t="shared" si="4"/>
        <v/>
      </c>
      <c r="AM141" s="19"/>
      <c r="AN141" s="19"/>
      <c r="AO141" s="19" t="s">
        <v>878</v>
      </c>
      <c r="AP141" s="19"/>
      <c r="AQ141" s="19"/>
      <c r="AR141" s="19" t="b">
        <v>1</v>
      </c>
      <c r="AS141" s="19"/>
      <c r="AT141" s="19"/>
      <c r="AU141" s="19"/>
      <c r="AV141" s="19"/>
      <c r="AW141" s="19"/>
    </row>
    <row r="142" spans="1:49" ht="12.75" customHeight="1" x14ac:dyDescent="0.2">
      <c r="A142" s="19" t="s">
        <v>879</v>
      </c>
      <c r="B142" s="19" t="s">
        <v>880</v>
      </c>
      <c r="C142" s="34" t="s">
        <v>1022</v>
      </c>
      <c r="D142" s="34"/>
      <c r="E142" s="19" t="s">
        <v>881</v>
      </c>
      <c r="F142" s="19" t="s">
        <v>882</v>
      </c>
      <c r="G142" s="19" t="s">
        <v>83</v>
      </c>
      <c r="H142" s="19" t="s">
        <v>141</v>
      </c>
      <c r="I142" s="19" t="s">
        <v>100</v>
      </c>
      <c r="J142" s="19" t="b">
        <v>1</v>
      </c>
      <c r="K142" s="19"/>
      <c r="L142" s="19"/>
      <c r="M142" s="19"/>
      <c r="N142" s="19"/>
      <c r="O142" s="19"/>
      <c r="P142" s="34">
        <v>6</v>
      </c>
      <c r="Q142" s="34">
        <v>0</v>
      </c>
      <c r="R142" s="34">
        <v>0</v>
      </c>
      <c r="S142" s="34">
        <v>3</v>
      </c>
      <c r="T142" s="34">
        <v>0</v>
      </c>
      <c r="U142" s="19"/>
      <c r="V142" s="19"/>
      <c r="W142" s="19"/>
      <c r="X142" s="19"/>
      <c r="Y142" s="19"/>
      <c r="Z142" s="19"/>
      <c r="AA142" s="19"/>
      <c r="AB142" s="19"/>
      <c r="AC142" s="19"/>
      <c r="AD142" s="19" t="b">
        <f>OR(Glossary!$R112&gt;0,Glossary!$S112&gt;0,Glossary!$T112&gt;0)</f>
        <v>0</v>
      </c>
      <c r="AE142" s="19" t="b">
        <v>0</v>
      </c>
      <c r="AF142" s="19">
        <v>7.0000000000000007E-2</v>
      </c>
      <c r="AG142" s="19">
        <v>7.0000000000000007E-2</v>
      </c>
      <c r="AH142" s="19"/>
      <c r="AI142" s="19"/>
      <c r="AJ142" s="19"/>
      <c r="AK142" s="19"/>
      <c r="AL142" s="19" t="str">
        <f t="shared" si="4"/>
        <v/>
      </c>
      <c r="AM142" s="19"/>
      <c r="AN142" s="19"/>
      <c r="AO142" s="19" t="s">
        <v>883</v>
      </c>
      <c r="AP142" s="19"/>
      <c r="AQ142" s="19"/>
      <c r="AR142" s="19" t="b">
        <v>1</v>
      </c>
      <c r="AS142" s="19"/>
      <c r="AT142" s="19" t="b">
        <v>1</v>
      </c>
      <c r="AU142" s="19"/>
      <c r="AV142" s="19" t="b">
        <v>1</v>
      </c>
      <c r="AW142" s="19"/>
    </row>
    <row r="143" spans="1:49" ht="12.75" customHeight="1" x14ac:dyDescent="0.2">
      <c r="A143" s="19" t="s">
        <v>884</v>
      </c>
      <c r="B143" s="19" t="s">
        <v>885</v>
      </c>
      <c r="C143" s="34" t="s">
        <v>1023</v>
      </c>
      <c r="D143" s="34" t="s">
        <v>886</v>
      </c>
      <c r="E143" s="19" t="s">
        <v>887</v>
      </c>
      <c r="F143" s="19" t="s">
        <v>888</v>
      </c>
      <c r="G143" s="19" t="s">
        <v>225</v>
      </c>
      <c r="H143" s="19" t="s">
        <v>226</v>
      </c>
      <c r="I143" s="19" t="s">
        <v>258</v>
      </c>
      <c r="J143" s="19"/>
      <c r="K143" s="19"/>
      <c r="L143" s="19"/>
      <c r="M143" s="19"/>
      <c r="N143" s="19"/>
      <c r="O143" s="19"/>
      <c r="P143" s="34">
        <v>2</v>
      </c>
      <c r="Q143" s="34">
        <v>0</v>
      </c>
      <c r="R143" s="34">
        <v>0</v>
      </c>
      <c r="S143" s="34">
        <v>3</v>
      </c>
      <c r="T143" s="34">
        <v>0</v>
      </c>
      <c r="U143" s="19"/>
      <c r="V143" s="19"/>
      <c r="W143" s="19"/>
      <c r="X143" s="19"/>
      <c r="Y143" s="19"/>
      <c r="Z143" s="19"/>
      <c r="AA143" s="19"/>
      <c r="AB143" s="19"/>
      <c r="AC143" s="19"/>
      <c r="AD143" s="19" t="b">
        <f>OR(Glossary!$R113&gt;0,Glossary!$S113&gt;0,Glossary!$T113&gt;0)</f>
        <v>0</v>
      </c>
      <c r="AE143" s="19" t="b">
        <v>1</v>
      </c>
      <c r="AF143" s="24">
        <v>0.2</v>
      </c>
      <c r="AG143" s="19">
        <v>0.2</v>
      </c>
      <c r="AH143" s="19" t="s">
        <v>889</v>
      </c>
      <c r="AI143" s="19"/>
      <c r="AJ143" s="19"/>
      <c r="AK143" s="19"/>
      <c r="AL143" s="19" t="str">
        <f t="shared" si="4"/>
        <v/>
      </c>
      <c r="AM143" s="19" t="b">
        <v>1</v>
      </c>
      <c r="AN143" s="19"/>
      <c r="AO143" s="19" t="s">
        <v>890</v>
      </c>
      <c r="AP143" s="19"/>
      <c r="AQ143" s="19"/>
      <c r="AR143" s="19" t="b">
        <v>1</v>
      </c>
      <c r="AS143" s="19"/>
      <c r="AT143" s="19" t="b">
        <v>1</v>
      </c>
      <c r="AU143" s="19"/>
      <c r="AV143" s="19" t="b">
        <v>1</v>
      </c>
      <c r="AW143" s="19"/>
    </row>
    <row r="144" spans="1:49" ht="12.75" customHeight="1" x14ac:dyDescent="0.2">
      <c r="A144" s="19" t="s">
        <v>891</v>
      </c>
      <c r="B144" s="19" t="s">
        <v>892</v>
      </c>
      <c r="C144" s="34" t="s">
        <v>1023</v>
      </c>
      <c r="D144" s="34" t="s">
        <v>893</v>
      </c>
      <c r="E144" s="19" t="s">
        <v>894</v>
      </c>
      <c r="F144" s="19" t="s">
        <v>895</v>
      </c>
      <c r="G144" s="19" t="s">
        <v>225</v>
      </c>
      <c r="H144" s="19" t="s">
        <v>226</v>
      </c>
      <c r="I144" s="19" t="s">
        <v>258</v>
      </c>
      <c r="J144" s="19"/>
      <c r="K144" s="19"/>
      <c r="L144" s="19"/>
      <c r="M144" s="19"/>
      <c r="N144" s="19"/>
      <c r="O144" s="19"/>
      <c r="P144" s="34">
        <v>2</v>
      </c>
      <c r="Q144" s="34">
        <v>0</v>
      </c>
      <c r="R144" s="34">
        <v>0</v>
      </c>
      <c r="S144" s="34">
        <v>3</v>
      </c>
      <c r="T144" s="34">
        <v>0</v>
      </c>
      <c r="U144" s="19"/>
      <c r="V144" s="19"/>
      <c r="W144" s="19"/>
      <c r="X144" s="19"/>
      <c r="Y144" s="19"/>
      <c r="Z144" s="19"/>
      <c r="AA144" s="19"/>
      <c r="AB144" s="19"/>
      <c r="AC144" s="19"/>
      <c r="AD144" s="19" t="b">
        <f>OR(Glossary!$R114&gt;0,Glossary!$S114&gt;0,Glossary!$T114&gt;0)</f>
        <v>0</v>
      </c>
      <c r="AE144" s="19" t="b">
        <v>1</v>
      </c>
      <c r="AF144" s="19">
        <v>3.0000000000000001E-3</v>
      </c>
      <c r="AG144" s="19">
        <v>5.0000000000000001E-3</v>
      </c>
      <c r="AH144" s="19"/>
      <c r="AI144" s="19"/>
      <c r="AJ144" s="19"/>
      <c r="AK144" s="19"/>
      <c r="AL144" s="19" t="str">
        <f t="shared" si="4"/>
        <v/>
      </c>
      <c r="AM144" s="19"/>
      <c r="AN144" s="19"/>
      <c r="AO144" s="19" t="s">
        <v>896</v>
      </c>
      <c r="AP144" s="19"/>
      <c r="AQ144" s="19"/>
      <c r="AR144" s="19" t="b">
        <v>1</v>
      </c>
      <c r="AS144" s="19"/>
      <c r="AT144" s="19" t="b">
        <v>1</v>
      </c>
      <c r="AU144" s="19"/>
      <c r="AV144" s="19" t="b">
        <v>1</v>
      </c>
      <c r="AW144" s="19"/>
    </row>
    <row r="145" spans="1:50" ht="12.75" customHeight="1" x14ac:dyDescent="0.2">
      <c r="A145" s="19" t="s">
        <v>897</v>
      </c>
      <c r="B145" s="19" t="s">
        <v>898</v>
      </c>
      <c r="C145" s="34" t="s">
        <v>1024</v>
      </c>
      <c r="D145" s="34" t="s">
        <v>899</v>
      </c>
      <c r="E145" s="19" t="s">
        <v>900</v>
      </c>
      <c r="F145" s="19" t="s">
        <v>901</v>
      </c>
      <c r="G145" s="19" t="s">
        <v>225</v>
      </c>
      <c r="H145" s="19" t="s">
        <v>330</v>
      </c>
      <c r="I145" s="19" t="s">
        <v>258</v>
      </c>
      <c r="J145" s="19"/>
      <c r="K145" s="19"/>
      <c r="L145" s="19"/>
      <c r="M145" s="19"/>
      <c r="N145" s="19"/>
      <c r="O145" s="19"/>
      <c r="P145" s="34">
        <v>2</v>
      </c>
      <c r="Q145" s="34">
        <v>0</v>
      </c>
      <c r="R145" s="34">
        <v>0</v>
      </c>
      <c r="S145" s="34">
        <v>3</v>
      </c>
      <c r="T145" s="34">
        <v>0</v>
      </c>
      <c r="U145" s="19"/>
      <c r="V145" s="19"/>
      <c r="W145" s="19"/>
      <c r="X145" s="19"/>
      <c r="Y145" s="19"/>
      <c r="Z145" s="19"/>
      <c r="AA145" s="19"/>
      <c r="AB145" s="19"/>
      <c r="AC145" s="19"/>
      <c r="AD145" s="19" t="b">
        <f>OR(Glossary!$R115&gt;0,Glossary!$S115&gt;0,Glossary!$T115&gt;0)</f>
        <v>0</v>
      </c>
      <c r="AE145" s="19" t="b">
        <v>0</v>
      </c>
      <c r="AF145" s="19">
        <v>0</v>
      </c>
      <c r="AG145" s="19">
        <v>5.0000000000000001E-3</v>
      </c>
      <c r="AH145" s="19"/>
      <c r="AI145" s="19"/>
      <c r="AJ145" s="19"/>
      <c r="AK145" s="19"/>
      <c r="AL145" s="19" t="str">
        <f t="shared" si="4"/>
        <v/>
      </c>
      <c r="AM145" s="19"/>
      <c r="AN145" s="19"/>
      <c r="AO145" s="19" t="s">
        <v>902</v>
      </c>
      <c r="AP145" s="19"/>
      <c r="AQ145" s="19"/>
      <c r="AR145" s="19" t="b">
        <v>1</v>
      </c>
      <c r="AS145" s="19"/>
      <c r="AT145" s="19"/>
      <c r="AU145" s="19"/>
      <c r="AV145" s="19" t="b">
        <v>1</v>
      </c>
      <c r="AW145" s="19"/>
    </row>
    <row r="146" spans="1:50" ht="12.75" customHeight="1" x14ac:dyDescent="0.2">
      <c r="A146" s="19" t="s">
        <v>903</v>
      </c>
      <c r="B146" s="19" t="s">
        <v>904</v>
      </c>
      <c r="C146" s="34" t="s">
        <v>1025</v>
      </c>
      <c r="D146" s="34" t="s">
        <v>905</v>
      </c>
      <c r="E146" s="19" t="s">
        <v>906</v>
      </c>
      <c r="F146" s="19" t="s">
        <v>907</v>
      </c>
      <c r="G146" s="19" t="s">
        <v>225</v>
      </c>
      <c r="H146" s="19" t="s">
        <v>226</v>
      </c>
      <c r="I146" s="19" t="s">
        <v>258</v>
      </c>
      <c r="J146" s="19"/>
      <c r="K146" s="19"/>
      <c r="L146" s="19"/>
      <c r="M146" s="19"/>
      <c r="N146" s="19"/>
      <c r="O146" s="19"/>
      <c r="P146" s="34">
        <v>1</v>
      </c>
      <c r="Q146" s="34">
        <v>0</v>
      </c>
      <c r="R146" s="34">
        <v>1</v>
      </c>
      <c r="S146" s="34">
        <v>3</v>
      </c>
      <c r="T146" s="34">
        <v>0</v>
      </c>
      <c r="U146" s="19"/>
      <c r="V146" s="19"/>
      <c r="W146" s="19"/>
      <c r="X146" s="19"/>
      <c r="Y146" s="19"/>
      <c r="Z146" s="19"/>
      <c r="AA146" s="19"/>
      <c r="AB146" s="19"/>
      <c r="AC146" s="19"/>
      <c r="AD146" s="19" t="b">
        <f>OR(Glossary!$R116&gt;0,Glossary!$S116&gt;0,Glossary!$T116&gt;0)</f>
        <v>0</v>
      </c>
      <c r="AE146" s="19" t="b">
        <v>1</v>
      </c>
      <c r="AF146" s="19"/>
      <c r="AG146" s="19"/>
      <c r="AH146" s="19"/>
      <c r="AI146" s="19"/>
      <c r="AJ146" s="19"/>
      <c r="AK146" s="19"/>
      <c r="AL146" s="19" t="str">
        <f t="shared" si="4"/>
        <v/>
      </c>
      <c r="AM146" s="19" t="b">
        <v>1</v>
      </c>
      <c r="AN146" s="19"/>
      <c r="AO146" s="19" t="s">
        <v>908</v>
      </c>
      <c r="AP146" s="19"/>
      <c r="AQ146" s="19"/>
      <c r="AR146" s="19" t="b">
        <v>1</v>
      </c>
      <c r="AS146" s="19"/>
      <c r="AT146" s="19"/>
      <c r="AU146" s="19"/>
      <c r="AV146" s="19"/>
      <c r="AW146" s="19"/>
    </row>
    <row r="147" spans="1:50" ht="12.75" customHeight="1" x14ac:dyDescent="0.2">
      <c r="A147" s="19" t="s">
        <v>909</v>
      </c>
      <c r="B147" s="19" t="s">
        <v>910</v>
      </c>
      <c r="C147" s="34" t="s">
        <v>1026</v>
      </c>
      <c r="D147" s="34" t="s">
        <v>911</v>
      </c>
      <c r="E147" s="19" t="s">
        <v>912</v>
      </c>
      <c r="F147" s="19" t="s">
        <v>913</v>
      </c>
      <c r="G147" s="19" t="s">
        <v>225</v>
      </c>
      <c r="H147" s="19" t="s">
        <v>226</v>
      </c>
      <c r="I147" s="19" t="s">
        <v>258</v>
      </c>
      <c r="J147" s="19"/>
      <c r="K147" s="19"/>
      <c r="L147" s="19"/>
      <c r="M147" s="19"/>
      <c r="N147" s="19"/>
      <c r="O147" s="19"/>
      <c r="P147" s="34">
        <v>3</v>
      </c>
      <c r="Q147" s="34">
        <v>0</v>
      </c>
      <c r="R147" s="34">
        <v>0</v>
      </c>
      <c r="S147" s="34">
        <v>3</v>
      </c>
      <c r="T147" s="34">
        <v>0</v>
      </c>
      <c r="U147" s="19"/>
      <c r="V147" s="19"/>
      <c r="W147" s="19"/>
      <c r="X147" s="19"/>
      <c r="Y147" s="19"/>
      <c r="Z147" s="19"/>
      <c r="AA147" s="19"/>
      <c r="AB147" s="19"/>
      <c r="AC147" s="19"/>
      <c r="AD147" s="19" t="b">
        <f>OR(Glossary!$R117&gt;0,Glossary!$S117&gt;0,Glossary!$T117&gt;0)</f>
        <v>1</v>
      </c>
      <c r="AE147" s="19" t="b">
        <v>1</v>
      </c>
      <c r="AF147" s="19"/>
      <c r="AG147" s="19"/>
      <c r="AH147" s="19"/>
      <c r="AI147" s="19"/>
      <c r="AJ147" s="19" t="b">
        <v>1</v>
      </c>
      <c r="AK147" s="19"/>
      <c r="AL147" s="19" t="str">
        <f t="shared" si="4"/>
        <v/>
      </c>
      <c r="AM147" s="19"/>
      <c r="AN147" s="19"/>
      <c r="AO147" s="19" t="s">
        <v>914</v>
      </c>
      <c r="AP147" s="19"/>
      <c r="AQ147" s="19"/>
      <c r="AR147" s="19" t="b">
        <v>1</v>
      </c>
      <c r="AS147" s="19"/>
      <c r="AT147" s="19"/>
      <c r="AU147" s="19"/>
      <c r="AV147" s="19"/>
      <c r="AW147" s="19"/>
    </row>
    <row r="148" spans="1:50" ht="12.75" customHeight="1" x14ac:dyDescent="0.2">
      <c r="A148" s="19" t="s">
        <v>915</v>
      </c>
      <c r="B148" s="19" t="s">
        <v>916</v>
      </c>
      <c r="C148" s="34" t="s">
        <v>1014</v>
      </c>
      <c r="D148" s="34" t="s">
        <v>917</v>
      </c>
      <c r="E148" s="19" t="s">
        <v>918</v>
      </c>
      <c r="F148" s="19" t="s">
        <v>919</v>
      </c>
      <c r="G148" s="19" t="s">
        <v>83</v>
      </c>
      <c r="H148" s="19" t="s">
        <v>141</v>
      </c>
      <c r="I148" s="19" t="s">
        <v>289</v>
      </c>
      <c r="J148" s="19" t="b">
        <v>1</v>
      </c>
      <c r="K148" s="19"/>
      <c r="L148" s="19"/>
      <c r="M148" s="19" t="b">
        <v>1</v>
      </c>
      <c r="N148" s="19"/>
      <c r="O148" s="19"/>
      <c r="P148" s="34">
        <v>9</v>
      </c>
      <c r="Q148" s="34">
        <v>0</v>
      </c>
      <c r="R148" s="34">
        <v>0</v>
      </c>
      <c r="S148" s="34">
        <v>0</v>
      </c>
      <c r="T148" s="34">
        <v>0</v>
      </c>
      <c r="U148" s="19"/>
      <c r="V148" s="19"/>
      <c r="W148" s="19"/>
      <c r="X148" s="19"/>
      <c r="Y148" s="19"/>
      <c r="Z148" s="19"/>
      <c r="AA148" s="19"/>
      <c r="AB148" s="19"/>
      <c r="AC148" s="19"/>
      <c r="AD148" s="19" t="b">
        <f>OR(Glossary!$R118&gt;0,Glossary!$S118&gt;0,Glossary!$T118&gt;0)</f>
        <v>0</v>
      </c>
      <c r="AE148" s="19" t="b">
        <v>0</v>
      </c>
      <c r="AF148" s="19"/>
      <c r="AG148" s="19"/>
      <c r="AH148" s="19"/>
      <c r="AI148" s="19"/>
      <c r="AJ148" s="19" t="b">
        <v>1</v>
      </c>
      <c r="AK148" s="19"/>
      <c r="AL148" s="19" t="str">
        <f t="shared" si="4"/>
        <v/>
      </c>
      <c r="AM148" s="19"/>
      <c r="AN148" s="19"/>
      <c r="AO148" s="19" t="s">
        <v>920</v>
      </c>
      <c r="AP148" s="19"/>
      <c r="AQ148" s="19"/>
      <c r="AR148" s="19" t="b">
        <v>1</v>
      </c>
      <c r="AS148" s="19"/>
      <c r="AT148" s="19"/>
      <c r="AU148" s="19" t="b">
        <v>1</v>
      </c>
      <c r="AV148" s="19" t="b">
        <v>1</v>
      </c>
      <c r="AW148" s="19"/>
    </row>
    <row r="149" spans="1:50" ht="12.75" customHeight="1" x14ac:dyDescent="0.2">
      <c r="A149" s="19" t="s">
        <v>921</v>
      </c>
      <c r="B149" s="19" t="s">
        <v>922</v>
      </c>
      <c r="C149" s="34" t="s">
        <v>1014</v>
      </c>
      <c r="D149" s="34" t="s">
        <v>923</v>
      </c>
      <c r="E149" s="19" t="s">
        <v>924</v>
      </c>
      <c r="F149" s="19" t="s">
        <v>925</v>
      </c>
      <c r="G149" s="19" t="s">
        <v>83</v>
      </c>
      <c r="H149" s="19" t="s">
        <v>141</v>
      </c>
      <c r="I149" s="19" t="s">
        <v>289</v>
      </c>
      <c r="J149" s="19" t="b">
        <v>1</v>
      </c>
      <c r="K149" s="19"/>
      <c r="L149" s="19"/>
      <c r="M149" s="19" t="b">
        <v>1</v>
      </c>
      <c r="N149" s="19"/>
      <c r="O149" s="19"/>
      <c r="P149" s="34">
        <v>9</v>
      </c>
      <c r="Q149" s="34">
        <v>0</v>
      </c>
      <c r="R149" s="34">
        <v>0</v>
      </c>
      <c r="S149" s="34">
        <v>0</v>
      </c>
      <c r="T149" s="34">
        <v>0</v>
      </c>
      <c r="U149" s="19"/>
      <c r="V149" s="19"/>
      <c r="W149" s="19"/>
      <c r="X149" s="19"/>
      <c r="Y149" s="19"/>
      <c r="Z149" s="19"/>
      <c r="AA149" s="19"/>
      <c r="AB149" s="19"/>
      <c r="AC149" s="19"/>
      <c r="AD149" s="19" t="b">
        <f>OR(Glossary!$R119&gt;0,Glossary!$S119&gt;0,Glossary!$T119&gt;0)</f>
        <v>1</v>
      </c>
      <c r="AE149" s="19" t="b">
        <v>0</v>
      </c>
      <c r="AF149" s="19"/>
      <c r="AG149" s="19"/>
      <c r="AH149" s="19"/>
      <c r="AI149" s="19"/>
      <c r="AJ149" s="19"/>
      <c r="AK149" s="19"/>
      <c r="AL149" s="19" t="str">
        <f t="shared" si="4"/>
        <v/>
      </c>
      <c r="AM149" s="19"/>
      <c r="AN149" s="19"/>
      <c r="AO149" s="19" t="s">
        <v>926</v>
      </c>
      <c r="AP149" s="19"/>
      <c r="AQ149" s="19"/>
      <c r="AR149" s="19" t="b">
        <v>1</v>
      </c>
      <c r="AS149" s="19"/>
      <c r="AT149" s="19"/>
      <c r="AU149" s="19" t="b">
        <v>1</v>
      </c>
      <c r="AV149" s="19" t="b">
        <v>1</v>
      </c>
      <c r="AW149" s="19"/>
    </row>
    <row r="150" spans="1:50" ht="12.75" customHeight="1" x14ac:dyDescent="0.2">
      <c r="A150" s="19" t="s">
        <v>927</v>
      </c>
      <c r="B150" s="19" t="s">
        <v>928</v>
      </c>
      <c r="C150" s="34" t="s">
        <v>526</v>
      </c>
      <c r="D150" s="34"/>
      <c r="E150" s="19"/>
      <c r="F150" s="19"/>
      <c r="G150" s="19" t="s">
        <v>407</v>
      </c>
      <c r="H150" s="19"/>
      <c r="I150" s="19"/>
      <c r="J150" s="19"/>
      <c r="K150" s="19"/>
      <c r="L150" s="19"/>
      <c r="M150" s="19"/>
      <c r="N150" s="19"/>
      <c r="O150" s="19"/>
      <c r="P150" s="34" t="s">
        <v>526</v>
      </c>
      <c r="Q150" s="34" t="s">
        <v>526</v>
      </c>
      <c r="R150" s="34" t="s">
        <v>526</v>
      </c>
      <c r="S150" s="34" t="s">
        <v>526</v>
      </c>
      <c r="T150" s="34" t="s">
        <v>526</v>
      </c>
      <c r="U150" s="19"/>
      <c r="V150" s="19"/>
      <c r="W150" s="19"/>
      <c r="X150" s="19"/>
      <c r="Y150" s="19"/>
      <c r="Z150" s="19"/>
      <c r="AA150" s="19"/>
      <c r="AB150" s="19"/>
      <c r="AC150" s="19"/>
      <c r="AD150" s="19" t="s">
        <v>156</v>
      </c>
      <c r="AE150" s="19" t="s">
        <v>156</v>
      </c>
      <c r="AF150" s="19"/>
      <c r="AG150" s="19"/>
      <c r="AH150" s="19"/>
      <c r="AI150" s="19"/>
      <c r="AJ150" s="19"/>
      <c r="AK150" s="19"/>
      <c r="AL150" s="19" t="str">
        <f t="shared" si="4"/>
        <v/>
      </c>
      <c r="AM150" s="19"/>
      <c r="AN150" s="19"/>
      <c r="AO150" s="19" t="s">
        <v>929</v>
      </c>
      <c r="AP150" s="19"/>
      <c r="AQ150" s="19"/>
      <c r="AR150" s="19"/>
      <c r="AS150" s="19"/>
      <c r="AT150" s="19"/>
      <c r="AU150" s="19" t="b">
        <v>1</v>
      </c>
      <c r="AV150" s="19"/>
      <c r="AW150" s="19"/>
    </row>
    <row r="151" spans="1:50" ht="12.75" customHeight="1" x14ac:dyDescent="0.2">
      <c r="A151" s="19" t="s">
        <v>930</v>
      </c>
      <c r="B151" s="19" t="s">
        <v>931</v>
      </c>
      <c r="C151" s="34" t="s">
        <v>996</v>
      </c>
      <c r="D151" s="34"/>
      <c r="E151" s="19" t="s">
        <v>526</v>
      </c>
      <c r="F151" s="19" t="s">
        <v>526</v>
      </c>
      <c r="G151" s="19" t="s">
        <v>844</v>
      </c>
      <c r="H151" s="19" t="s">
        <v>845</v>
      </c>
      <c r="I151" s="19"/>
      <c r="J151" s="19"/>
      <c r="K151" s="19"/>
      <c r="L151" s="19"/>
      <c r="M151" s="19" t="b">
        <v>1</v>
      </c>
      <c r="N151" s="19"/>
      <c r="O151" s="19"/>
      <c r="P151" s="34">
        <v>8</v>
      </c>
      <c r="Q151" s="34">
        <v>0</v>
      </c>
      <c r="R151" s="34">
        <v>0</v>
      </c>
      <c r="S151" s="34">
        <v>0</v>
      </c>
      <c r="T151" s="34">
        <v>0</v>
      </c>
      <c r="U151" s="19"/>
      <c r="V151" s="19"/>
      <c r="W151" s="19"/>
      <c r="X151" s="19"/>
      <c r="Y151" s="19"/>
      <c r="Z151" s="19"/>
      <c r="AA151" s="19"/>
      <c r="AB151" s="19"/>
      <c r="AC151" s="19"/>
      <c r="AD151" s="19" t="b">
        <f>OR(Glossary!$R120&gt;0,Glossary!$S120&gt;0,Glossary!$T120&gt;0)</f>
        <v>0</v>
      </c>
      <c r="AE151" s="19" t="b">
        <v>0</v>
      </c>
      <c r="AF151" s="19"/>
      <c r="AG151" s="19"/>
      <c r="AH151" s="19" t="s">
        <v>932</v>
      </c>
      <c r="AI151" s="19"/>
      <c r="AJ151" s="19"/>
      <c r="AK151" s="19"/>
      <c r="AL151" s="19" t="str">
        <f t="shared" si="4"/>
        <v/>
      </c>
      <c r="AM151" s="19"/>
      <c r="AN151" s="19"/>
      <c r="AO151" s="19" t="s">
        <v>933</v>
      </c>
      <c r="AP151" s="19" t="s">
        <v>934</v>
      </c>
      <c r="AQ151" s="19"/>
      <c r="AR151" s="19" t="b">
        <v>1</v>
      </c>
      <c r="AS151" s="19"/>
      <c r="AT151" s="19" t="b">
        <v>1</v>
      </c>
      <c r="AU151" s="19" t="b">
        <v>1</v>
      </c>
      <c r="AV151" s="19" t="b">
        <v>1</v>
      </c>
      <c r="AW151" s="19"/>
    </row>
    <row r="152" spans="1:50" ht="12.75" customHeight="1" x14ac:dyDescent="0.2">
      <c r="A152" s="19" t="s">
        <v>935</v>
      </c>
      <c r="B152" s="19" t="s">
        <v>936</v>
      </c>
      <c r="C152" s="34" t="s">
        <v>996</v>
      </c>
      <c r="D152" s="34" t="s">
        <v>937</v>
      </c>
      <c r="E152" s="19" t="s">
        <v>938</v>
      </c>
      <c r="F152" s="19" t="s">
        <v>939</v>
      </c>
      <c r="G152" s="19" t="s">
        <v>83</v>
      </c>
      <c r="H152" s="19" t="s">
        <v>141</v>
      </c>
      <c r="I152" s="19" t="s">
        <v>289</v>
      </c>
      <c r="J152" s="19" t="b">
        <v>1</v>
      </c>
      <c r="K152" s="19"/>
      <c r="L152" s="19"/>
      <c r="M152" s="19" t="b">
        <v>1</v>
      </c>
      <c r="N152" s="19"/>
      <c r="O152" s="19"/>
      <c r="P152" s="34">
        <v>8</v>
      </c>
      <c r="Q152" s="34">
        <v>0</v>
      </c>
      <c r="R152" s="34">
        <v>0</v>
      </c>
      <c r="S152" s="34">
        <v>0</v>
      </c>
      <c r="T152" s="34">
        <v>0</v>
      </c>
      <c r="U152" s="19"/>
      <c r="V152" s="19"/>
      <c r="W152" s="19"/>
      <c r="X152" s="19"/>
      <c r="Y152" s="19"/>
      <c r="Z152" s="19"/>
      <c r="AA152" s="19"/>
      <c r="AB152" s="19"/>
      <c r="AC152" s="19"/>
      <c r="AD152" s="19" t="b">
        <f>OR(Glossary!$R121&gt;0,Glossary!$S121&gt;0,Glossary!$T121&gt;0)</f>
        <v>0</v>
      </c>
      <c r="AE152" s="19" t="b">
        <v>0</v>
      </c>
      <c r="AF152" s="19"/>
      <c r="AG152" s="19"/>
      <c r="AH152" s="19" t="s">
        <v>932</v>
      </c>
      <c r="AI152" s="19"/>
      <c r="AJ152" s="19"/>
      <c r="AK152" s="19"/>
      <c r="AL152" s="19" t="str">
        <f t="shared" si="4"/>
        <v/>
      </c>
      <c r="AM152" s="19"/>
      <c r="AN152" s="19"/>
      <c r="AO152" s="19" t="s">
        <v>940</v>
      </c>
      <c r="AP152" s="19"/>
      <c r="AQ152" s="19"/>
      <c r="AR152" s="19" t="b">
        <v>1</v>
      </c>
      <c r="AS152" s="19"/>
      <c r="AT152" s="19" t="b">
        <v>1</v>
      </c>
      <c r="AU152" s="19" t="b">
        <v>1</v>
      </c>
      <c r="AV152" s="19" t="b">
        <v>1</v>
      </c>
      <c r="AW152" s="19"/>
    </row>
    <row r="153" spans="1:50" ht="12.75" customHeight="1" x14ac:dyDescent="0.2">
      <c r="A153" s="19" t="s">
        <v>941</v>
      </c>
      <c r="B153" s="19" t="s">
        <v>942</v>
      </c>
      <c r="C153" s="34" t="s">
        <v>996</v>
      </c>
      <c r="D153" s="34" t="s">
        <v>943</v>
      </c>
      <c r="E153" s="19" t="s">
        <v>526</v>
      </c>
      <c r="F153" s="19" t="s">
        <v>526</v>
      </c>
      <c r="G153" s="19" t="s">
        <v>844</v>
      </c>
      <c r="H153" s="19" t="s">
        <v>845</v>
      </c>
      <c r="I153" s="19"/>
      <c r="J153" s="19"/>
      <c r="K153" s="19" t="b">
        <v>1</v>
      </c>
      <c r="L153" s="19"/>
      <c r="M153" s="19" t="b">
        <v>1</v>
      </c>
      <c r="N153" s="19"/>
      <c r="O153" s="19"/>
      <c r="P153" s="34">
        <v>8</v>
      </c>
      <c r="Q153" s="34">
        <v>0</v>
      </c>
      <c r="R153" s="34">
        <v>0</v>
      </c>
      <c r="S153" s="34">
        <v>0</v>
      </c>
      <c r="T153" s="34">
        <v>0</v>
      </c>
      <c r="U153" s="19"/>
      <c r="V153" s="19"/>
      <c r="W153" s="19"/>
      <c r="X153" s="19"/>
      <c r="Y153" s="19"/>
      <c r="Z153" s="19"/>
      <c r="AA153" s="19"/>
      <c r="AB153" s="19"/>
      <c r="AC153" s="19"/>
      <c r="AD153" s="19" t="b">
        <f>OR(Glossary!$R122&gt;0,Glossary!$S122&gt;0,Glossary!$T122&gt;0)</f>
        <v>0</v>
      </c>
      <c r="AE153" s="19" t="b">
        <v>0</v>
      </c>
      <c r="AF153" s="19">
        <v>10</v>
      </c>
      <c r="AG153" s="19">
        <v>10</v>
      </c>
      <c r="AH153" s="19"/>
      <c r="AI153" s="19"/>
      <c r="AJ153" s="19"/>
      <c r="AK153" s="19"/>
      <c r="AL153" s="19" t="str">
        <f t="shared" si="4"/>
        <v/>
      </c>
      <c r="AM153" s="19"/>
      <c r="AN153" s="19"/>
      <c r="AO153" s="19" t="s">
        <v>944</v>
      </c>
      <c r="AP153" s="19"/>
      <c r="AQ153" s="19"/>
      <c r="AR153" s="19" t="b">
        <v>1</v>
      </c>
      <c r="AS153" s="19"/>
      <c r="AT153" s="19" t="b">
        <v>1</v>
      </c>
      <c r="AU153" s="19" t="b">
        <v>1</v>
      </c>
      <c r="AV153" s="19" t="b">
        <v>1</v>
      </c>
      <c r="AW153" s="19"/>
    </row>
    <row r="154" spans="1:50" ht="12.75" customHeight="1" x14ac:dyDescent="0.2">
      <c r="A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N154" s="4"/>
      <c r="AO154" s="4"/>
      <c r="AP154" s="4"/>
      <c r="AQ154" s="4"/>
      <c r="AR154" s="4"/>
      <c r="AS154" s="4"/>
      <c r="AT154" s="4"/>
      <c r="AU154" s="4"/>
      <c r="AV154" s="4"/>
      <c r="AX154" s="4"/>
    </row>
    <row r="155" spans="1:50" ht="12.75" customHeight="1" x14ac:dyDescent="0.2">
      <c r="A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N155" s="4"/>
      <c r="AO155" s="4"/>
      <c r="AP155" s="4"/>
      <c r="AQ155" s="4"/>
      <c r="AR155" s="4"/>
      <c r="AS155" s="4"/>
      <c r="AT155" s="4"/>
      <c r="AU155" s="4"/>
      <c r="AV155" s="4"/>
      <c r="AX155" s="4"/>
    </row>
    <row r="156" spans="1:50" ht="12.75" customHeight="1" x14ac:dyDescent="0.2">
      <c r="A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N156" s="4"/>
      <c r="AO156" s="4"/>
      <c r="AP156" s="4"/>
      <c r="AQ156" s="4"/>
      <c r="AR156" s="4"/>
      <c r="AS156" s="4"/>
      <c r="AT156" s="4"/>
      <c r="AU156" s="4"/>
      <c r="AV156" s="4"/>
      <c r="AX156" s="4"/>
    </row>
    <row r="157" spans="1:50" ht="12.75" customHeight="1" x14ac:dyDescent="0.2">
      <c r="A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N157" s="4"/>
      <c r="AO157" s="4"/>
      <c r="AP157" s="4"/>
      <c r="AQ157" s="4"/>
      <c r="AR157" s="4"/>
      <c r="AS157" s="4"/>
      <c r="AT157" s="4"/>
      <c r="AU157" s="4"/>
      <c r="AV157" s="4"/>
      <c r="AX157" s="4"/>
    </row>
    <row r="158" spans="1:50" ht="12.75" customHeight="1" x14ac:dyDescent="0.2">
      <c r="A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N158" s="4"/>
      <c r="AO158" s="4"/>
      <c r="AP158" s="4"/>
      <c r="AQ158" s="4"/>
      <c r="AR158" s="4"/>
      <c r="AS158" s="4"/>
      <c r="AT158" s="4"/>
      <c r="AU158" s="4"/>
      <c r="AV158" s="4"/>
      <c r="AX158" s="4"/>
    </row>
    <row r="159" spans="1:50" ht="12.75" customHeight="1" x14ac:dyDescent="0.2">
      <c r="A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N159" s="4"/>
      <c r="AO159" s="4"/>
      <c r="AP159" s="4"/>
      <c r="AQ159" s="4"/>
      <c r="AR159" s="4"/>
      <c r="AS159" s="4"/>
      <c r="AT159" s="4"/>
      <c r="AU159" s="4"/>
      <c r="AV159" s="4"/>
      <c r="AX159" s="4"/>
    </row>
    <row r="160" spans="1:50" ht="12.75" customHeight="1" x14ac:dyDescent="0.2">
      <c r="A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N160" s="4"/>
      <c r="AO160" s="4"/>
      <c r="AP160" s="4"/>
      <c r="AQ160" s="4"/>
      <c r="AR160" s="4"/>
      <c r="AS160" s="4"/>
      <c r="AT160" s="4"/>
      <c r="AU160" s="4"/>
      <c r="AV160" s="4"/>
      <c r="AX160" s="4"/>
    </row>
    <row r="161" spans="1:50" ht="12.75" customHeight="1" x14ac:dyDescent="0.2">
      <c r="A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N161" s="4"/>
      <c r="AO161" s="4"/>
      <c r="AP161" s="4"/>
      <c r="AQ161" s="4"/>
      <c r="AR161" s="4"/>
      <c r="AS161" s="4"/>
      <c r="AT161" s="4"/>
      <c r="AU161" s="4"/>
      <c r="AV161" s="4"/>
      <c r="AX161" s="4"/>
    </row>
    <row r="162" spans="1:50" ht="12.75" customHeight="1" x14ac:dyDescent="0.2">
      <c r="A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N162" s="4"/>
      <c r="AO162" s="4"/>
      <c r="AP162" s="4"/>
      <c r="AQ162" s="4"/>
      <c r="AR162" s="4"/>
      <c r="AS162" s="4"/>
      <c r="AT162" s="4"/>
      <c r="AU162" s="4"/>
      <c r="AV162" s="4"/>
      <c r="AX162" s="4"/>
    </row>
    <row r="163" spans="1:50" ht="12.75" customHeight="1" x14ac:dyDescent="0.2">
      <c r="A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N163" s="4"/>
      <c r="AO163" s="4"/>
      <c r="AP163" s="4"/>
      <c r="AQ163" s="4"/>
      <c r="AR163" s="4"/>
      <c r="AS163" s="4"/>
      <c r="AT163" s="4"/>
      <c r="AU163" s="4"/>
      <c r="AV163" s="4"/>
      <c r="AX163" s="4"/>
    </row>
    <row r="164" spans="1:50" ht="12.75" customHeight="1" x14ac:dyDescent="0.2">
      <c r="A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N164" s="4"/>
      <c r="AO164" s="4"/>
      <c r="AP164" s="4"/>
      <c r="AQ164" s="4"/>
      <c r="AR164" s="4"/>
      <c r="AS164" s="4"/>
      <c r="AT164" s="4"/>
      <c r="AU164" s="4"/>
      <c r="AV164" s="4"/>
      <c r="AX164" s="4"/>
    </row>
    <row r="165" spans="1:50" ht="12.75" customHeight="1" x14ac:dyDescent="0.2">
      <c r="A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N165" s="4"/>
      <c r="AO165" s="4"/>
      <c r="AP165" s="4"/>
      <c r="AQ165" s="4"/>
      <c r="AR165" s="4"/>
      <c r="AS165" s="4"/>
      <c r="AT165" s="4"/>
      <c r="AU165" s="4"/>
      <c r="AV165" s="4"/>
      <c r="AX165" s="4"/>
    </row>
    <row r="166" spans="1:50" ht="12.75" customHeight="1" x14ac:dyDescent="0.2">
      <c r="A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N166" s="4"/>
      <c r="AO166" s="4"/>
      <c r="AP166" s="4"/>
      <c r="AQ166" s="4"/>
      <c r="AR166" s="4"/>
      <c r="AS166" s="4"/>
      <c r="AT166" s="4"/>
      <c r="AU166" s="4"/>
      <c r="AV166" s="4"/>
      <c r="AX166" s="4"/>
    </row>
    <row r="167" spans="1:50" ht="12.75" customHeight="1" x14ac:dyDescent="0.2">
      <c r="A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N167" s="4"/>
      <c r="AO167" s="4"/>
      <c r="AP167" s="4"/>
      <c r="AQ167" s="4"/>
      <c r="AR167" s="4"/>
      <c r="AS167" s="4"/>
      <c r="AT167" s="4"/>
      <c r="AU167" s="4"/>
      <c r="AV167" s="4"/>
      <c r="AX167" s="4"/>
    </row>
    <row r="168" spans="1:50" ht="12.75" customHeight="1" x14ac:dyDescent="0.2">
      <c r="A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N168" s="4"/>
      <c r="AO168" s="4"/>
      <c r="AP168" s="4"/>
      <c r="AQ168" s="4"/>
      <c r="AR168" s="4"/>
      <c r="AS168" s="4"/>
      <c r="AT168" s="4"/>
      <c r="AU168" s="4"/>
      <c r="AV168" s="4"/>
      <c r="AX168" s="4"/>
    </row>
    <row r="169" spans="1:50" ht="12.75" customHeight="1" x14ac:dyDescent="0.2">
      <c r="A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N169" s="4"/>
      <c r="AO169" s="4"/>
      <c r="AP169" s="4"/>
      <c r="AQ169" s="4"/>
      <c r="AR169" s="4"/>
      <c r="AS169" s="4"/>
      <c r="AT169" s="4"/>
      <c r="AU169" s="4"/>
      <c r="AV169" s="4"/>
      <c r="AX169" s="4"/>
    </row>
    <row r="170" spans="1:50" ht="12.75" customHeight="1" x14ac:dyDescent="0.2">
      <c r="A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N170" s="4"/>
      <c r="AO170" s="4"/>
      <c r="AP170" s="4"/>
      <c r="AQ170" s="4"/>
      <c r="AR170" s="4"/>
      <c r="AS170" s="4"/>
      <c r="AT170" s="4"/>
      <c r="AU170" s="4"/>
      <c r="AV170" s="4"/>
      <c r="AX170" s="4"/>
    </row>
    <row r="171" spans="1:50" ht="12.75" customHeight="1" x14ac:dyDescent="0.2">
      <c r="A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N171" s="4"/>
      <c r="AO171" s="4"/>
      <c r="AP171" s="4"/>
      <c r="AQ171" s="4"/>
      <c r="AR171" s="4"/>
      <c r="AS171" s="4"/>
      <c r="AT171" s="4"/>
      <c r="AU171" s="4"/>
      <c r="AV171" s="4"/>
      <c r="AX171" s="4"/>
    </row>
    <row r="172" spans="1:50" ht="12.75" customHeight="1" x14ac:dyDescent="0.2">
      <c r="A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N172" s="4"/>
      <c r="AO172" s="4"/>
      <c r="AP172" s="4"/>
      <c r="AQ172" s="4"/>
      <c r="AR172" s="4"/>
      <c r="AS172" s="4"/>
      <c r="AT172" s="4"/>
      <c r="AU172" s="4"/>
      <c r="AV172" s="4"/>
      <c r="AX172" s="4"/>
    </row>
    <row r="173" spans="1:50" ht="12.75" customHeight="1" x14ac:dyDescent="0.2">
      <c r="A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N173" s="4"/>
      <c r="AO173" s="4"/>
      <c r="AP173" s="4"/>
      <c r="AQ173" s="4"/>
      <c r="AR173" s="4"/>
      <c r="AS173" s="4"/>
      <c r="AT173" s="4"/>
      <c r="AU173" s="4"/>
      <c r="AV173" s="4"/>
      <c r="AX173" s="4"/>
    </row>
    <row r="174" spans="1:50" ht="12.75" customHeight="1" x14ac:dyDescent="0.2">
      <c r="A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N174" s="4"/>
      <c r="AO174" s="4"/>
      <c r="AP174" s="4"/>
      <c r="AQ174" s="4"/>
      <c r="AR174" s="4"/>
      <c r="AS174" s="4"/>
      <c r="AT174" s="4"/>
      <c r="AU174" s="4"/>
      <c r="AV174" s="4"/>
      <c r="AX174" s="4"/>
    </row>
    <row r="175" spans="1:50" ht="12.75" customHeight="1" x14ac:dyDescent="0.2">
      <c r="A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N175" s="4"/>
      <c r="AO175" s="4"/>
      <c r="AP175" s="4"/>
      <c r="AQ175" s="4"/>
      <c r="AR175" s="4"/>
      <c r="AS175" s="4"/>
      <c r="AT175" s="4"/>
      <c r="AU175" s="4"/>
      <c r="AV175" s="4"/>
      <c r="AX175" s="4"/>
    </row>
    <row r="176" spans="1:50" ht="12.75" customHeight="1" x14ac:dyDescent="0.2">
      <c r="A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N176" s="4"/>
      <c r="AO176" s="4"/>
      <c r="AP176" s="4"/>
      <c r="AQ176" s="4"/>
      <c r="AR176" s="4"/>
      <c r="AS176" s="4"/>
      <c r="AT176" s="4"/>
      <c r="AU176" s="4"/>
      <c r="AV176" s="4"/>
      <c r="AX176" s="4"/>
    </row>
    <row r="177" spans="1:50" ht="12.75" customHeight="1" x14ac:dyDescent="0.2">
      <c r="A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N177" s="4"/>
      <c r="AO177" s="4"/>
      <c r="AP177" s="4"/>
      <c r="AQ177" s="4"/>
      <c r="AR177" s="4"/>
      <c r="AS177" s="4"/>
      <c r="AT177" s="4"/>
      <c r="AU177" s="4"/>
      <c r="AV177" s="4"/>
      <c r="AX177" s="4"/>
    </row>
    <row r="178" spans="1:50" ht="12.75" customHeight="1" x14ac:dyDescent="0.2">
      <c r="A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N178" s="4"/>
      <c r="AO178" s="4"/>
      <c r="AP178" s="4"/>
      <c r="AQ178" s="4"/>
      <c r="AR178" s="4"/>
      <c r="AS178" s="4"/>
      <c r="AT178" s="4"/>
      <c r="AU178" s="4"/>
      <c r="AV178" s="4"/>
      <c r="AX178" s="4"/>
    </row>
    <row r="179" spans="1:50" ht="12.75" customHeight="1" x14ac:dyDescent="0.2">
      <c r="A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N179" s="4"/>
      <c r="AO179" s="4"/>
      <c r="AP179" s="4"/>
      <c r="AQ179" s="4"/>
      <c r="AR179" s="4"/>
      <c r="AS179" s="4"/>
      <c r="AT179" s="4"/>
      <c r="AU179" s="4"/>
      <c r="AV179" s="4"/>
      <c r="AX179" s="4"/>
    </row>
    <row r="180" spans="1:50" ht="12.75" customHeight="1" x14ac:dyDescent="0.2">
      <c r="A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N180" s="4"/>
      <c r="AO180" s="4"/>
      <c r="AP180" s="4"/>
      <c r="AQ180" s="4"/>
      <c r="AR180" s="4"/>
      <c r="AS180" s="4"/>
      <c r="AT180" s="4"/>
      <c r="AU180" s="4"/>
      <c r="AV180" s="4"/>
      <c r="AX180" s="4"/>
    </row>
    <row r="181" spans="1:50" ht="12.75" customHeight="1" x14ac:dyDescent="0.2">
      <c r="A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N181" s="4"/>
      <c r="AO181" s="4"/>
      <c r="AP181" s="4"/>
      <c r="AQ181" s="4"/>
      <c r="AR181" s="4"/>
      <c r="AS181" s="4"/>
      <c r="AT181" s="4"/>
      <c r="AU181" s="4"/>
      <c r="AV181" s="4"/>
      <c r="AX181" s="4"/>
    </row>
    <row r="182" spans="1:50" ht="12.75" customHeight="1" x14ac:dyDescent="0.2">
      <c r="A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N182" s="4"/>
      <c r="AO182" s="4"/>
      <c r="AP182" s="4"/>
      <c r="AQ182" s="4"/>
      <c r="AR182" s="4"/>
      <c r="AS182" s="4"/>
      <c r="AT182" s="4"/>
      <c r="AU182" s="4"/>
      <c r="AV182" s="4"/>
      <c r="AX182" s="4"/>
    </row>
    <row r="183" spans="1:50" ht="12.75" customHeight="1" x14ac:dyDescent="0.2">
      <c r="A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N183" s="4"/>
      <c r="AO183" s="4"/>
      <c r="AP183" s="4"/>
      <c r="AQ183" s="4"/>
      <c r="AR183" s="4"/>
      <c r="AS183" s="4"/>
      <c r="AT183" s="4"/>
      <c r="AU183" s="4"/>
      <c r="AV183" s="4"/>
      <c r="AX183" s="4"/>
    </row>
    <row r="184" spans="1:50" ht="12.75" customHeight="1" x14ac:dyDescent="0.2">
      <c r="A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N184" s="4"/>
      <c r="AO184" s="4"/>
      <c r="AP184" s="4"/>
      <c r="AQ184" s="4"/>
      <c r="AR184" s="4"/>
      <c r="AS184" s="4"/>
      <c r="AT184" s="4"/>
      <c r="AU184" s="4"/>
      <c r="AV184" s="4"/>
      <c r="AX184" s="4"/>
    </row>
    <row r="185" spans="1:50" ht="12.75" customHeight="1" x14ac:dyDescent="0.2">
      <c r="A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N185" s="4"/>
      <c r="AO185" s="4"/>
      <c r="AP185" s="4"/>
      <c r="AQ185" s="4"/>
      <c r="AR185" s="4"/>
      <c r="AS185" s="4"/>
      <c r="AT185" s="4"/>
      <c r="AU185" s="4"/>
      <c r="AV185" s="4"/>
      <c r="AX185" s="4"/>
    </row>
    <row r="186" spans="1:50" ht="12.75" customHeight="1" x14ac:dyDescent="0.2">
      <c r="A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N186" s="4"/>
      <c r="AO186" s="4"/>
      <c r="AP186" s="4"/>
      <c r="AQ186" s="4"/>
      <c r="AR186" s="4"/>
      <c r="AS186" s="4"/>
      <c r="AT186" s="4"/>
      <c r="AU186" s="4"/>
      <c r="AV186" s="4"/>
      <c r="AX186" s="4"/>
    </row>
    <row r="187" spans="1:50" ht="12.75" customHeight="1" x14ac:dyDescent="0.2">
      <c r="A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N187" s="4"/>
      <c r="AO187" s="4"/>
      <c r="AP187" s="4"/>
      <c r="AQ187" s="4"/>
      <c r="AR187" s="4"/>
      <c r="AS187" s="4"/>
      <c r="AT187" s="4"/>
      <c r="AU187" s="4"/>
      <c r="AV187" s="4"/>
      <c r="AX187" s="4"/>
    </row>
    <row r="188" spans="1:50" ht="12.75" customHeight="1" x14ac:dyDescent="0.2">
      <c r="A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N188" s="4"/>
      <c r="AO188" s="4"/>
      <c r="AP188" s="4"/>
      <c r="AQ188" s="4"/>
      <c r="AR188" s="4"/>
      <c r="AS188" s="4"/>
      <c r="AT188" s="4"/>
      <c r="AU188" s="4"/>
      <c r="AV188" s="4"/>
      <c r="AX188" s="4"/>
    </row>
    <row r="189" spans="1:50" ht="12.75" customHeight="1" x14ac:dyDescent="0.2">
      <c r="A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N189" s="4"/>
      <c r="AO189" s="4"/>
      <c r="AP189" s="4"/>
      <c r="AQ189" s="4"/>
      <c r="AR189" s="4"/>
      <c r="AS189" s="4"/>
      <c r="AT189" s="4"/>
      <c r="AU189" s="4"/>
      <c r="AV189" s="4"/>
      <c r="AX189" s="4"/>
    </row>
    <row r="190" spans="1:50" ht="12.75" customHeight="1" x14ac:dyDescent="0.2">
      <c r="A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N190" s="4"/>
      <c r="AO190" s="4"/>
      <c r="AP190" s="4"/>
      <c r="AQ190" s="4"/>
      <c r="AR190" s="4"/>
      <c r="AS190" s="4"/>
      <c r="AT190" s="4"/>
      <c r="AU190" s="4"/>
      <c r="AV190" s="4"/>
      <c r="AX190" s="4"/>
    </row>
    <row r="191" spans="1:50" ht="12.75" customHeight="1" x14ac:dyDescent="0.2">
      <c r="A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N191" s="4"/>
      <c r="AO191" s="4"/>
      <c r="AP191" s="4"/>
      <c r="AQ191" s="4"/>
      <c r="AR191" s="4"/>
      <c r="AS191" s="4"/>
      <c r="AT191" s="4"/>
      <c r="AU191" s="4"/>
      <c r="AV191" s="4"/>
      <c r="AX191" s="4"/>
    </row>
    <row r="192" spans="1:50" ht="12.75" customHeight="1" x14ac:dyDescent="0.2">
      <c r="A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N192" s="4"/>
      <c r="AO192" s="4"/>
      <c r="AP192" s="4"/>
      <c r="AQ192" s="4"/>
      <c r="AR192" s="4"/>
      <c r="AS192" s="4"/>
      <c r="AT192" s="4"/>
      <c r="AU192" s="4"/>
      <c r="AV192" s="4"/>
      <c r="AX192" s="4"/>
    </row>
    <row r="193" spans="1:50" ht="12.75" customHeight="1" x14ac:dyDescent="0.2">
      <c r="A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N193" s="4"/>
      <c r="AO193" s="4"/>
      <c r="AP193" s="4"/>
      <c r="AQ193" s="4"/>
      <c r="AR193" s="4"/>
      <c r="AS193" s="4"/>
      <c r="AT193" s="4"/>
      <c r="AU193" s="4"/>
      <c r="AV193" s="4"/>
      <c r="AX193" s="4"/>
    </row>
    <row r="194" spans="1:50" ht="12.75" customHeight="1" x14ac:dyDescent="0.2">
      <c r="A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N194" s="4"/>
      <c r="AO194" s="4"/>
      <c r="AP194" s="4"/>
      <c r="AQ194" s="4"/>
      <c r="AR194" s="4"/>
      <c r="AS194" s="4"/>
      <c r="AT194" s="4"/>
      <c r="AU194" s="4"/>
      <c r="AV194" s="4"/>
      <c r="AX194" s="4"/>
    </row>
    <row r="195" spans="1:50" ht="12.75" customHeight="1" x14ac:dyDescent="0.2">
      <c r="A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N195" s="4"/>
      <c r="AO195" s="4"/>
      <c r="AP195" s="4"/>
      <c r="AQ195" s="4"/>
      <c r="AR195" s="4"/>
      <c r="AS195" s="4"/>
      <c r="AT195" s="4"/>
      <c r="AU195" s="4"/>
      <c r="AV195" s="4"/>
      <c r="AX195" s="4"/>
    </row>
    <row r="196" spans="1:50" ht="12.75" customHeight="1" x14ac:dyDescent="0.2">
      <c r="A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N196" s="4"/>
      <c r="AO196" s="4"/>
      <c r="AP196" s="4"/>
      <c r="AQ196" s="4"/>
      <c r="AR196" s="4"/>
      <c r="AS196" s="4"/>
      <c r="AT196" s="4"/>
      <c r="AU196" s="4"/>
      <c r="AV196" s="4"/>
      <c r="AX196" s="4"/>
    </row>
    <row r="197" spans="1:50" ht="12.75" customHeight="1" x14ac:dyDescent="0.2">
      <c r="A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N197" s="4"/>
      <c r="AO197" s="4"/>
      <c r="AP197" s="4"/>
      <c r="AQ197" s="4"/>
      <c r="AR197" s="4"/>
      <c r="AS197" s="4"/>
      <c r="AT197" s="4"/>
      <c r="AU197" s="4"/>
      <c r="AV197" s="4"/>
      <c r="AX197" s="4"/>
    </row>
    <row r="198" spans="1:50" ht="12.75" customHeight="1" x14ac:dyDescent="0.2">
      <c r="A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N198" s="4"/>
      <c r="AO198" s="4"/>
      <c r="AP198" s="4"/>
      <c r="AQ198" s="4"/>
      <c r="AR198" s="4"/>
      <c r="AS198" s="4"/>
      <c r="AT198" s="4"/>
      <c r="AU198" s="4"/>
      <c r="AV198" s="4"/>
      <c r="AX198" s="4"/>
    </row>
    <row r="199" spans="1:50" ht="12.75" customHeight="1" x14ac:dyDescent="0.2">
      <c r="A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N199" s="4"/>
      <c r="AO199" s="4"/>
      <c r="AP199" s="4"/>
      <c r="AQ199" s="4"/>
      <c r="AR199" s="4"/>
      <c r="AS199" s="4"/>
      <c r="AT199" s="4"/>
      <c r="AU199" s="4"/>
      <c r="AV199" s="4"/>
      <c r="AX199" s="4"/>
    </row>
    <row r="200" spans="1:50" ht="12.75" customHeight="1" x14ac:dyDescent="0.2">
      <c r="A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N200" s="4"/>
      <c r="AO200" s="4"/>
      <c r="AP200" s="4"/>
      <c r="AQ200" s="4"/>
      <c r="AR200" s="4"/>
      <c r="AS200" s="4"/>
      <c r="AT200" s="4"/>
      <c r="AU200" s="4"/>
      <c r="AV200" s="4"/>
      <c r="AX200" s="4"/>
    </row>
    <row r="201" spans="1:50" ht="12.75" customHeight="1" x14ac:dyDescent="0.2">
      <c r="A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N201" s="4"/>
      <c r="AO201" s="4"/>
      <c r="AP201" s="4"/>
      <c r="AQ201" s="4"/>
      <c r="AR201" s="4"/>
      <c r="AS201" s="4"/>
      <c r="AT201" s="4"/>
      <c r="AU201" s="4"/>
      <c r="AV201" s="4"/>
      <c r="AX201" s="4"/>
    </row>
    <row r="202" spans="1:50" ht="12.75" customHeight="1" x14ac:dyDescent="0.2">
      <c r="A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N202" s="4"/>
      <c r="AO202" s="4"/>
      <c r="AP202" s="4"/>
      <c r="AQ202" s="4"/>
      <c r="AR202" s="4"/>
      <c r="AS202" s="4"/>
      <c r="AT202" s="4"/>
      <c r="AU202" s="4"/>
      <c r="AV202" s="4"/>
      <c r="AX202" s="4"/>
    </row>
    <row r="203" spans="1:50" ht="12.75" customHeight="1" x14ac:dyDescent="0.2">
      <c r="A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N203" s="4"/>
      <c r="AO203" s="4"/>
      <c r="AP203" s="4"/>
      <c r="AQ203" s="4"/>
      <c r="AR203" s="4"/>
      <c r="AS203" s="4"/>
      <c r="AT203" s="4"/>
      <c r="AU203" s="4"/>
      <c r="AV203" s="4"/>
      <c r="AX203" s="4"/>
    </row>
    <row r="204" spans="1:50" ht="12.75" customHeight="1" x14ac:dyDescent="0.2">
      <c r="A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N204" s="4"/>
      <c r="AO204" s="4"/>
      <c r="AP204" s="4"/>
      <c r="AQ204" s="4"/>
      <c r="AR204" s="4"/>
      <c r="AS204" s="4"/>
      <c r="AT204" s="4"/>
      <c r="AU204" s="4"/>
      <c r="AV204" s="4"/>
      <c r="AX204" s="4"/>
    </row>
    <row r="205" spans="1:50" ht="12.75" customHeight="1" x14ac:dyDescent="0.2">
      <c r="A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N205" s="4"/>
      <c r="AO205" s="4"/>
      <c r="AP205" s="4"/>
      <c r="AQ205" s="4"/>
      <c r="AR205" s="4"/>
      <c r="AS205" s="4"/>
      <c r="AT205" s="4"/>
      <c r="AU205" s="4"/>
      <c r="AV205" s="4"/>
      <c r="AX205" s="4"/>
    </row>
    <row r="206" spans="1:50" ht="12.75" customHeight="1" x14ac:dyDescent="0.2">
      <c r="A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N206" s="4"/>
      <c r="AO206" s="4"/>
      <c r="AP206" s="4"/>
      <c r="AQ206" s="4"/>
      <c r="AR206" s="4"/>
      <c r="AS206" s="4"/>
      <c r="AT206" s="4"/>
      <c r="AU206" s="4"/>
      <c r="AV206" s="4"/>
      <c r="AX206" s="4"/>
    </row>
    <row r="207" spans="1:50" ht="12.75" customHeight="1" x14ac:dyDescent="0.2">
      <c r="A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N207" s="4"/>
      <c r="AO207" s="4"/>
      <c r="AP207" s="4"/>
      <c r="AQ207" s="4"/>
      <c r="AR207" s="4"/>
      <c r="AS207" s="4"/>
      <c r="AT207" s="4"/>
      <c r="AU207" s="4"/>
      <c r="AV207" s="4"/>
      <c r="AX207" s="4"/>
    </row>
    <row r="208" spans="1:50" ht="12.75" customHeight="1" x14ac:dyDescent="0.2">
      <c r="A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N208" s="4"/>
      <c r="AO208" s="4"/>
      <c r="AP208" s="4"/>
      <c r="AQ208" s="4"/>
      <c r="AR208" s="4"/>
      <c r="AS208" s="4"/>
      <c r="AT208" s="4"/>
      <c r="AU208" s="4"/>
      <c r="AV208" s="4"/>
      <c r="AX208" s="4"/>
    </row>
    <row r="209" spans="1:50" ht="12.75" customHeight="1" x14ac:dyDescent="0.2">
      <c r="A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N209" s="4"/>
      <c r="AO209" s="4"/>
      <c r="AP209" s="4"/>
      <c r="AQ209" s="4"/>
      <c r="AR209" s="4"/>
      <c r="AS209" s="4"/>
      <c r="AT209" s="4"/>
      <c r="AU209" s="4"/>
      <c r="AV209" s="4"/>
      <c r="AX209" s="4"/>
    </row>
    <row r="210" spans="1:50" ht="12.75" customHeight="1" x14ac:dyDescent="0.2">
      <c r="A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N210" s="4"/>
      <c r="AO210" s="4"/>
      <c r="AP210" s="4"/>
      <c r="AQ210" s="4"/>
      <c r="AR210" s="4"/>
      <c r="AS210" s="4"/>
      <c r="AT210" s="4"/>
      <c r="AU210" s="4"/>
      <c r="AV210" s="4"/>
      <c r="AX210" s="4"/>
    </row>
    <row r="211" spans="1:50" ht="12.75" customHeight="1" x14ac:dyDescent="0.2">
      <c r="A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N211" s="4"/>
      <c r="AO211" s="4"/>
      <c r="AP211" s="4"/>
      <c r="AQ211" s="4"/>
      <c r="AR211" s="4"/>
      <c r="AS211" s="4"/>
      <c r="AT211" s="4"/>
      <c r="AU211" s="4"/>
      <c r="AV211" s="4"/>
      <c r="AX211" s="4"/>
    </row>
    <row r="212" spans="1:50" ht="12.75" customHeight="1" x14ac:dyDescent="0.2">
      <c r="A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N212" s="4"/>
      <c r="AO212" s="4"/>
      <c r="AP212" s="4"/>
      <c r="AQ212" s="4"/>
      <c r="AR212" s="4"/>
      <c r="AS212" s="4"/>
      <c r="AT212" s="4"/>
      <c r="AU212" s="4"/>
      <c r="AV212" s="4"/>
      <c r="AX212" s="4"/>
    </row>
    <row r="213" spans="1:50" ht="12.75" customHeight="1" x14ac:dyDescent="0.2">
      <c r="A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N213" s="4"/>
      <c r="AO213" s="4"/>
      <c r="AP213" s="4"/>
      <c r="AQ213" s="4"/>
      <c r="AR213" s="4"/>
      <c r="AS213" s="4"/>
      <c r="AT213" s="4"/>
      <c r="AU213" s="4"/>
      <c r="AV213" s="4"/>
      <c r="AX213" s="4"/>
    </row>
    <row r="214" spans="1:50" ht="12.75" customHeight="1" x14ac:dyDescent="0.2">
      <c r="A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N214" s="4"/>
      <c r="AO214" s="4"/>
      <c r="AP214" s="4"/>
      <c r="AQ214" s="4"/>
      <c r="AR214" s="4"/>
      <c r="AS214" s="4"/>
      <c r="AT214" s="4"/>
      <c r="AU214" s="4"/>
      <c r="AV214" s="4"/>
      <c r="AX214" s="4"/>
    </row>
    <row r="215" spans="1:50" ht="12.75" customHeight="1" x14ac:dyDescent="0.2">
      <c r="A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N215" s="4"/>
      <c r="AO215" s="4"/>
      <c r="AP215" s="4"/>
      <c r="AQ215" s="4"/>
      <c r="AR215" s="4"/>
      <c r="AS215" s="4"/>
      <c r="AT215" s="4"/>
      <c r="AU215" s="4"/>
      <c r="AV215" s="4"/>
      <c r="AX215" s="4"/>
    </row>
    <row r="216" spans="1:50" ht="12.75" customHeight="1" x14ac:dyDescent="0.2">
      <c r="A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N216" s="4"/>
      <c r="AO216" s="4"/>
      <c r="AP216" s="4"/>
      <c r="AQ216" s="4"/>
      <c r="AR216" s="4"/>
      <c r="AS216" s="4"/>
      <c r="AT216" s="4"/>
      <c r="AU216" s="4"/>
      <c r="AV216" s="4"/>
      <c r="AX216" s="4"/>
    </row>
    <row r="217" spans="1:50" ht="12.75" customHeight="1" x14ac:dyDescent="0.2">
      <c r="A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N217" s="4"/>
      <c r="AO217" s="4"/>
      <c r="AP217" s="4"/>
      <c r="AQ217" s="4"/>
      <c r="AR217" s="4"/>
      <c r="AS217" s="4"/>
      <c r="AT217" s="4"/>
      <c r="AU217" s="4"/>
      <c r="AV217" s="4"/>
      <c r="AX217" s="4"/>
    </row>
    <row r="218" spans="1:50" ht="12.75" customHeight="1" x14ac:dyDescent="0.2">
      <c r="A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N218" s="4"/>
      <c r="AO218" s="4"/>
      <c r="AP218" s="4"/>
      <c r="AQ218" s="4"/>
      <c r="AR218" s="4"/>
      <c r="AS218" s="4"/>
      <c r="AT218" s="4"/>
      <c r="AU218" s="4"/>
      <c r="AV218" s="4"/>
      <c r="AX218" s="4"/>
    </row>
    <row r="219" spans="1:50" ht="12.75" customHeight="1" x14ac:dyDescent="0.2">
      <c r="A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N219" s="4"/>
      <c r="AO219" s="4"/>
      <c r="AP219" s="4"/>
      <c r="AQ219" s="4"/>
      <c r="AR219" s="4"/>
      <c r="AS219" s="4"/>
      <c r="AT219" s="4"/>
      <c r="AU219" s="4"/>
      <c r="AV219" s="4"/>
      <c r="AX219" s="4"/>
    </row>
    <row r="220" spans="1:50" ht="12.75" customHeight="1" x14ac:dyDescent="0.2">
      <c r="A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N220" s="4"/>
      <c r="AO220" s="4"/>
      <c r="AP220" s="4"/>
      <c r="AQ220" s="4"/>
      <c r="AR220" s="4"/>
      <c r="AS220" s="4"/>
      <c r="AT220" s="4"/>
      <c r="AU220" s="4"/>
      <c r="AV220" s="4"/>
      <c r="AX220" s="4"/>
    </row>
    <row r="221" spans="1:50" ht="12.75" customHeight="1" x14ac:dyDescent="0.2">
      <c r="A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N221" s="4"/>
      <c r="AO221" s="4"/>
      <c r="AP221" s="4"/>
      <c r="AQ221" s="4"/>
      <c r="AR221" s="4"/>
      <c r="AS221" s="4"/>
      <c r="AT221" s="4"/>
      <c r="AU221" s="4"/>
      <c r="AV221" s="4"/>
      <c r="AX221" s="4"/>
    </row>
    <row r="222" spans="1:50" ht="12.75" customHeight="1" x14ac:dyDescent="0.2">
      <c r="A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N222" s="4"/>
      <c r="AO222" s="4"/>
      <c r="AP222" s="4"/>
      <c r="AQ222" s="4"/>
      <c r="AR222" s="4"/>
      <c r="AS222" s="4"/>
      <c r="AT222" s="4"/>
      <c r="AU222" s="4"/>
      <c r="AV222" s="4"/>
      <c r="AX222" s="4"/>
    </row>
    <row r="223" spans="1:50" ht="12.75" customHeight="1" x14ac:dyDescent="0.2">
      <c r="A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N223" s="4"/>
      <c r="AO223" s="4"/>
      <c r="AP223" s="4"/>
      <c r="AQ223" s="4"/>
      <c r="AR223" s="4"/>
      <c r="AS223" s="4"/>
      <c r="AT223" s="4"/>
      <c r="AU223" s="4"/>
      <c r="AV223" s="4"/>
      <c r="AX223" s="4"/>
    </row>
    <row r="224" spans="1:50" ht="12.75" customHeight="1" x14ac:dyDescent="0.2">
      <c r="A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N224" s="4"/>
      <c r="AO224" s="4"/>
      <c r="AP224" s="4"/>
      <c r="AQ224" s="4"/>
      <c r="AR224" s="4"/>
      <c r="AS224" s="4"/>
      <c r="AT224" s="4"/>
      <c r="AU224" s="4"/>
      <c r="AV224" s="4"/>
      <c r="AX224" s="4"/>
    </row>
    <row r="225" spans="1:50" ht="12.75" customHeight="1" x14ac:dyDescent="0.2">
      <c r="A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N225" s="4"/>
      <c r="AO225" s="4"/>
      <c r="AP225" s="4"/>
      <c r="AQ225" s="4"/>
      <c r="AR225" s="4"/>
      <c r="AS225" s="4"/>
      <c r="AT225" s="4"/>
      <c r="AU225" s="4"/>
      <c r="AV225" s="4"/>
      <c r="AX225" s="4"/>
    </row>
    <row r="226" spans="1:50" ht="12.75" customHeight="1" x14ac:dyDescent="0.2">
      <c r="A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N226" s="4"/>
      <c r="AO226" s="4"/>
      <c r="AP226" s="4"/>
      <c r="AQ226" s="4"/>
      <c r="AR226" s="4"/>
      <c r="AS226" s="4"/>
      <c r="AT226" s="4"/>
      <c r="AU226" s="4"/>
      <c r="AV226" s="4"/>
      <c r="AX226" s="4"/>
    </row>
    <row r="227" spans="1:50" ht="12.75" customHeight="1" x14ac:dyDescent="0.2">
      <c r="A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N227" s="4"/>
      <c r="AO227" s="4"/>
      <c r="AP227" s="4"/>
      <c r="AQ227" s="4"/>
      <c r="AR227" s="4"/>
      <c r="AS227" s="4"/>
      <c r="AT227" s="4"/>
      <c r="AU227" s="4"/>
      <c r="AV227" s="4"/>
      <c r="AX227" s="4"/>
    </row>
    <row r="228" spans="1:50" ht="12.75" customHeight="1" x14ac:dyDescent="0.2">
      <c r="A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N228" s="4"/>
      <c r="AO228" s="4"/>
      <c r="AP228" s="4"/>
      <c r="AQ228" s="4"/>
      <c r="AR228" s="4"/>
      <c r="AS228" s="4"/>
      <c r="AT228" s="4"/>
      <c r="AU228" s="4"/>
      <c r="AV228" s="4"/>
      <c r="AX228" s="4"/>
    </row>
    <row r="229" spans="1:50" ht="12.75" customHeight="1" x14ac:dyDescent="0.2">
      <c r="A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N229" s="4"/>
      <c r="AO229" s="4"/>
      <c r="AP229" s="4"/>
      <c r="AQ229" s="4"/>
      <c r="AR229" s="4"/>
      <c r="AS229" s="4"/>
      <c r="AT229" s="4"/>
      <c r="AU229" s="4"/>
      <c r="AV229" s="4"/>
      <c r="AX229" s="4"/>
    </row>
    <row r="230" spans="1:50" ht="12.75" customHeight="1" x14ac:dyDescent="0.2">
      <c r="A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N230" s="4"/>
      <c r="AO230" s="4"/>
      <c r="AP230" s="4"/>
      <c r="AQ230" s="4"/>
      <c r="AR230" s="4"/>
      <c r="AS230" s="4"/>
      <c r="AT230" s="4"/>
      <c r="AU230" s="4"/>
      <c r="AV230" s="4"/>
      <c r="AX230" s="4"/>
    </row>
    <row r="231" spans="1:50" ht="12.75" customHeight="1" x14ac:dyDescent="0.2">
      <c r="A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N231" s="4"/>
      <c r="AO231" s="4"/>
      <c r="AP231" s="4"/>
      <c r="AQ231" s="4"/>
      <c r="AR231" s="4"/>
      <c r="AS231" s="4"/>
      <c r="AT231" s="4"/>
      <c r="AU231" s="4"/>
      <c r="AV231" s="4"/>
      <c r="AX231" s="4"/>
    </row>
    <row r="232" spans="1:50" ht="12.75" customHeight="1" x14ac:dyDescent="0.2">
      <c r="A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N232" s="4"/>
      <c r="AO232" s="4"/>
      <c r="AP232" s="4"/>
      <c r="AQ232" s="4"/>
      <c r="AR232" s="4"/>
      <c r="AS232" s="4"/>
      <c r="AT232" s="4"/>
      <c r="AU232" s="4"/>
      <c r="AV232" s="4"/>
      <c r="AX232" s="4"/>
    </row>
    <row r="233" spans="1:50" ht="12.75" customHeight="1" x14ac:dyDescent="0.2">
      <c r="A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N233" s="4"/>
      <c r="AO233" s="4"/>
      <c r="AP233" s="4"/>
      <c r="AQ233" s="4"/>
      <c r="AR233" s="4"/>
      <c r="AS233" s="4"/>
      <c r="AT233" s="4"/>
      <c r="AU233" s="4"/>
      <c r="AV233" s="4"/>
      <c r="AX233" s="4"/>
    </row>
    <row r="234" spans="1:50" ht="12.75" customHeight="1" x14ac:dyDescent="0.2">
      <c r="A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N234" s="4"/>
      <c r="AO234" s="4"/>
      <c r="AP234" s="4"/>
      <c r="AQ234" s="4"/>
      <c r="AR234" s="4"/>
      <c r="AS234" s="4"/>
      <c r="AT234" s="4"/>
      <c r="AU234" s="4"/>
      <c r="AV234" s="4"/>
      <c r="AX234" s="4"/>
    </row>
    <row r="235" spans="1:50" ht="12.75" customHeight="1" x14ac:dyDescent="0.2">
      <c r="A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N235" s="4"/>
      <c r="AO235" s="4"/>
      <c r="AP235" s="4"/>
      <c r="AQ235" s="4"/>
      <c r="AR235" s="4"/>
      <c r="AS235" s="4"/>
      <c r="AT235" s="4"/>
      <c r="AU235" s="4"/>
      <c r="AV235" s="4"/>
      <c r="AX235" s="4"/>
    </row>
    <row r="236" spans="1:50" ht="12.75" customHeight="1" x14ac:dyDescent="0.2">
      <c r="A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N236" s="4"/>
      <c r="AO236" s="4"/>
      <c r="AP236" s="4"/>
      <c r="AQ236" s="4"/>
      <c r="AR236" s="4"/>
      <c r="AS236" s="4"/>
      <c r="AT236" s="4"/>
      <c r="AU236" s="4"/>
      <c r="AV236" s="4"/>
      <c r="AX236" s="4"/>
    </row>
    <row r="237" spans="1:50" ht="12.75" customHeight="1" x14ac:dyDescent="0.2">
      <c r="A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N237" s="4"/>
      <c r="AO237" s="4"/>
      <c r="AP237" s="4"/>
      <c r="AQ237" s="4"/>
      <c r="AR237" s="4"/>
      <c r="AS237" s="4"/>
      <c r="AT237" s="4"/>
      <c r="AU237" s="4"/>
      <c r="AV237" s="4"/>
      <c r="AX237" s="4"/>
    </row>
    <row r="238" spans="1:50" ht="12.75" customHeight="1" x14ac:dyDescent="0.2">
      <c r="A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N238" s="4"/>
      <c r="AO238" s="4"/>
      <c r="AP238" s="4"/>
      <c r="AQ238" s="4"/>
      <c r="AR238" s="4"/>
      <c r="AS238" s="4"/>
      <c r="AT238" s="4"/>
      <c r="AU238" s="4"/>
      <c r="AV238" s="4"/>
      <c r="AX238" s="4"/>
    </row>
    <row r="239" spans="1:50" ht="12.75" customHeight="1" x14ac:dyDescent="0.2">
      <c r="A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N239" s="4"/>
      <c r="AO239" s="4"/>
      <c r="AP239" s="4"/>
      <c r="AQ239" s="4"/>
      <c r="AR239" s="4"/>
      <c r="AS239" s="4"/>
      <c r="AT239" s="4"/>
      <c r="AU239" s="4"/>
      <c r="AV239" s="4"/>
      <c r="AX239" s="4"/>
    </row>
    <row r="240" spans="1:50" ht="12.75" customHeight="1" x14ac:dyDescent="0.2">
      <c r="A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N240" s="4"/>
      <c r="AO240" s="4"/>
      <c r="AP240" s="4"/>
      <c r="AQ240" s="4"/>
      <c r="AR240" s="4"/>
      <c r="AS240" s="4"/>
      <c r="AT240" s="4"/>
      <c r="AU240" s="4"/>
      <c r="AV240" s="4"/>
      <c r="AX240" s="4"/>
    </row>
    <row r="241" spans="1:50" ht="12.75" customHeight="1" x14ac:dyDescent="0.2">
      <c r="A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N241" s="4"/>
      <c r="AO241" s="4"/>
      <c r="AP241" s="4"/>
      <c r="AQ241" s="4"/>
      <c r="AR241" s="4"/>
      <c r="AS241" s="4"/>
      <c r="AT241" s="4"/>
      <c r="AU241" s="4"/>
      <c r="AV241" s="4"/>
      <c r="AX241" s="4"/>
    </row>
    <row r="242" spans="1:50" ht="12.75" customHeight="1" x14ac:dyDescent="0.2">
      <c r="A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N242" s="4"/>
      <c r="AO242" s="4"/>
      <c r="AP242" s="4"/>
      <c r="AQ242" s="4"/>
      <c r="AR242" s="4"/>
      <c r="AS242" s="4"/>
      <c r="AT242" s="4"/>
      <c r="AU242" s="4"/>
      <c r="AV242" s="4"/>
      <c r="AX242" s="4"/>
    </row>
    <row r="243" spans="1:50" ht="12.75" customHeight="1" x14ac:dyDescent="0.2">
      <c r="A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N243" s="4"/>
      <c r="AO243" s="4"/>
      <c r="AP243" s="4"/>
      <c r="AQ243" s="4"/>
      <c r="AR243" s="4"/>
      <c r="AS243" s="4"/>
      <c r="AT243" s="4"/>
      <c r="AU243" s="4"/>
      <c r="AV243" s="4"/>
      <c r="AX243" s="4"/>
    </row>
    <row r="244" spans="1:50" ht="12.75" customHeight="1" x14ac:dyDescent="0.2">
      <c r="A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N244" s="4"/>
      <c r="AO244" s="4"/>
      <c r="AP244" s="4"/>
      <c r="AQ244" s="4"/>
      <c r="AR244" s="4"/>
      <c r="AS244" s="4"/>
      <c r="AT244" s="4"/>
      <c r="AU244" s="4"/>
      <c r="AV244" s="4"/>
      <c r="AX244" s="4"/>
    </row>
    <row r="245" spans="1:50" ht="12.75" customHeight="1" x14ac:dyDescent="0.2">
      <c r="A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N245" s="4"/>
      <c r="AO245" s="4"/>
      <c r="AP245" s="4"/>
      <c r="AQ245" s="4"/>
      <c r="AR245" s="4"/>
      <c r="AS245" s="4"/>
      <c r="AT245" s="4"/>
      <c r="AU245" s="4"/>
      <c r="AV245" s="4"/>
      <c r="AX245" s="4"/>
    </row>
    <row r="246" spans="1:50" ht="12.75" customHeight="1" x14ac:dyDescent="0.2">
      <c r="A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N246" s="4"/>
      <c r="AO246" s="4"/>
      <c r="AP246" s="4"/>
      <c r="AQ246" s="4"/>
      <c r="AR246" s="4"/>
      <c r="AS246" s="4"/>
      <c r="AT246" s="4"/>
      <c r="AU246" s="4"/>
      <c r="AV246" s="4"/>
      <c r="AX246" s="4"/>
    </row>
    <row r="247" spans="1:50" ht="12.75" customHeight="1" x14ac:dyDescent="0.2">
      <c r="A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N247" s="4"/>
      <c r="AO247" s="4"/>
      <c r="AP247" s="4"/>
      <c r="AQ247" s="4"/>
      <c r="AR247" s="4"/>
      <c r="AS247" s="4"/>
      <c r="AT247" s="4"/>
      <c r="AU247" s="4"/>
      <c r="AV247" s="4"/>
      <c r="AX247" s="4"/>
    </row>
    <row r="248" spans="1:50" ht="12.75" customHeight="1" x14ac:dyDescent="0.2">
      <c r="A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N248" s="4"/>
      <c r="AO248" s="4"/>
      <c r="AP248" s="4"/>
      <c r="AQ248" s="4"/>
      <c r="AR248" s="4"/>
      <c r="AS248" s="4"/>
      <c r="AT248" s="4"/>
      <c r="AU248" s="4"/>
      <c r="AV248" s="4"/>
      <c r="AX248" s="4"/>
    </row>
    <row r="249" spans="1:50" ht="12.75" customHeight="1" x14ac:dyDescent="0.2">
      <c r="A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N249" s="4"/>
      <c r="AO249" s="4"/>
      <c r="AP249" s="4"/>
      <c r="AQ249" s="4"/>
      <c r="AR249" s="4"/>
      <c r="AS249" s="4"/>
      <c r="AT249" s="4"/>
      <c r="AU249" s="4"/>
      <c r="AV249" s="4"/>
      <c r="AX249" s="4"/>
    </row>
    <row r="250" spans="1:50" ht="12.75" customHeight="1" x14ac:dyDescent="0.2">
      <c r="A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N250" s="4"/>
      <c r="AO250" s="4"/>
      <c r="AP250" s="4"/>
      <c r="AQ250" s="4"/>
      <c r="AR250" s="4"/>
      <c r="AS250" s="4"/>
      <c r="AT250" s="4"/>
      <c r="AU250" s="4"/>
      <c r="AV250" s="4"/>
      <c r="AX250" s="4"/>
    </row>
    <row r="251" spans="1:50" ht="12.75" customHeight="1" x14ac:dyDescent="0.2">
      <c r="A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N251" s="4"/>
      <c r="AO251" s="4"/>
      <c r="AP251" s="4"/>
      <c r="AQ251" s="4"/>
      <c r="AR251" s="4"/>
      <c r="AS251" s="4"/>
      <c r="AT251" s="4"/>
      <c r="AU251" s="4"/>
      <c r="AV251" s="4"/>
      <c r="AX251" s="4"/>
    </row>
    <row r="252" spans="1:50" ht="12.75" customHeight="1" x14ac:dyDescent="0.2">
      <c r="A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N252" s="4"/>
      <c r="AO252" s="4"/>
      <c r="AP252" s="4"/>
      <c r="AQ252" s="4"/>
      <c r="AR252" s="4"/>
      <c r="AS252" s="4"/>
      <c r="AT252" s="4"/>
      <c r="AU252" s="4"/>
      <c r="AV252" s="4"/>
      <c r="AX252" s="4"/>
    </row>
    <row r="253" spans="1:50" ht="12.75" customHeight="1" x14ac:dyDescent="0.2">
      <c r="A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N253" s="4"/>
      <c r="AO253" s="4"/>
      <c r="AP253" s="4"/>
      <c r="AQ253" s="4"/>
      <c r="AR253" s="4"/>
      <c r="AS253" s="4"/>
      <c r="AT253" s="4"/>
      <c r="AU253" s="4"/>
      <c r="AV253" s="4"/>
      <c r="AX253" s="4"/>
    </row>
    <row r="254" spans="1:50" ht="12.75" customHeight="1" x14ac:dyDescent="0.2">
      <c r="A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N254" s="4"/>
      <c r="AO254" s="4"/>
      <c r="AP254" s="4"/>
      <c r="AQ254" s="4"/>
      <c r="AR254" s="4"/>
      <c r="AS254" s="4"/>
      <c r="AT254" s="4"/>
      <c r="AU254" s="4"/>
      <c r="AV254" s="4"/>
      <c r="AX254" s="4"/>
    </row>
    <row r="255" spans="1:50" ht="12.75" customHeight="1" x14ac:dyDescent="0.2">
      <c r="A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N255" s="4"/>
      <c r="AO255" s="4"/>
      <c r="AP255" s="4"/>
      <c r="AQ255" s="4"/>
      <c r="AR255" s="4"/>
      <c r="AS255" s="4"/>
      <c r="AT255" s="4"/>
      <c r="AU255" s="4"/>
      <c r="AV255" s="4"/>
      <c r="AX255" s="4"/>
    </row>
    <row r="256" spans="1:50" ht="12.75" customHeight="1" x14ac:dyDescent="0.2">
      <c r="A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N256" s="4"/>
      <c r="AO256" s="4"/>
      <c r="AP256" s="4"/>
      <c r="AQ256" s="4"/>
      <c r="AR256" s="4"/>
      <c r="AS256" s="4"/>
      <c r="AT256" s="4"/>
      <c r="AU256" s="4"/>
      <c r="AV256" s="4"/>
      <c r="AX256" s="4"/>
    </row>
    <row r="257" spans="1:50" ht="12.75" customHeight="1" x14ac:dyDescent="0.2">
      <c r="A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N257" s="4"/>
      <c r="AO257" s="4"/>
      <c r="AP257" s="4"/>
      <c r="AQ257" s="4"/>
      <c r="AR257" s="4"/>
      <c r="AS257" s="4"/>
      <c r="AT257" s="4"/>
      <c r="AU257" s="4"/>
      <c r="AV257" s="4"/>
      <c r="AX257" s="4"/>
    </row>
    <row r="258" spans="1:50" ht="12.75" customHeight="1" x14ac:dyDescent="0.2">
      <c r="A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N258" s="4"/>
      <c r="AO258" s="4"/>
      <c r="AP258" s="4"/>
      <c r="AQ258" s="4"/>
      <c r="AR258" s="4"/>
      <c r="AS258" s="4"/>
      <c r="AT258" s="4"/>
      <c r="AU258" s="4"/>
      <c r="AV258" s="4"/>
      <c r="AX258" s="4"/>
    </row>
    <row r="259" spans="1:50" ht="12.75" customHeight="1" x14ac:dyDescent="0.2">
      <c r="A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N259" s="4"/>
      <c r="AO259" s="4"/>
      <c r="AP259" s="4"/>
      <c r="AQ259" s="4"/>
      <c r="AR259" s="4"/>
      <c r="AS259" s="4"/>
      <c r="AT259" s="4"/>
      <c r="AU259" s="4"/>
      <c r="AV259" s="4"/>
      <c r="AX259" s="4"/>
    </row>
    <row r="260" spans="1:50" ht="12.75" customHeight="1" x14ac:dyDescent="0.2">
      <c r="A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N260" s="4"/>
      <c r="AO260" s="4"/>
      <c r="AP260" s="4"/>
      <c r="AQ260" s="4"/>
      <c r="AR260" s="4"/>
      <c r="AS260" s="4"/>
      <c r="AT260" s="4"/>
      <c r="AU260" s="4"/>
      <c r="AV260" s="4"/>
      <c r="AX260" s="4"/>
    </row>
    <row r="261" spans="1:50" ht="12.75" customHeight="1" x14ac:dyDescent="0.2">
      <c r="A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N261" s="4"/>
      <c r="AO261" s="4"/>
      <c r="AP261" s="4"/>
      <c r="AQ261" s="4"/>
      <c r="AR261" s="4"/>
      <c r="AS261" s="4"/>
      <c r="AT261" s="4"/>
      <c r="AU261" s="4"/>
      <c r="AV261" s="4"/>
      <c r="AX261" s="4"/>
    </row>
    <row r="262" spans="1:50" ht="12.75" customHeight="1" x14ac:dyDescent="0.2">
      <c r="A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N262" s="4"/>
      <c r="AO262" s="4"/>
      <c r="AP262" s="4"/>
      <c r="AQ262" s="4"/>
      <c r="AR262" s="4"/>
      <c r="AS262" s="4"/>
      <c r="AT262" s="4"/>
      <c r="AU262" s="4"/>
      <c r="AV262" s="4"/>
      <c r="AX262" s="4"/>
    </row>
    <row r="263" spans="1:50" ht="12.75" customHeight="1" x14ac:dyDescent="0.2">
      <c r="A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N263" s="4"/>
      <c r="AO263" s="4"/>
      <c r="AP263" s="4"/>
      <c r="AQ263" s="4"/>
      <c r="AR263" s="4"/>
      <c r="AS263" s="4"/>
      <c r="AT263" s="4"/>
      <c r="AU263" s="4"/>
      <c r="AV263" s="4"/>
      <c r="AX263" s="4"/>
    </row>
    <row r="264" spans="1:50" ht="12.75" customHeight="1" x14ac:dyDescent="0.2">
      <c r="A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N264" s="4"/>
      <c r="AO264" s="4"/>
      <c r="AP264" s="4"/>
      <c r="AQ264" s="4"/>
      <c r="AR264" s="4"/>
      <c r="AS264" s="4"/>
      <c r="AT264" s="4"/>
      <c r="AU264" s="4"/>
      <c r="AV264" s="4"/>
      <c r="AX264" s="4"/>
    </row>
    <row r="265" spans="1:50" ht="12.75" customHeight="1" x14ac:dyDescent="0.2">
      <c r="A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N265" s="4"/>
      <c r="AO265" s="4"/>
      <c r="AP265" s="4"/>
      <c r="AQ265" s="4"/>
      <c r="AR265" s="4"/>
      <c r="AS265" s="4"/>
      <c r="AT265" s="4"/>
      <c r="AU265" s="4"/>
      <c r="AV265" s="4"/>
      <c r="AX265" s="4"/>
    </row>
    <row r="266" spans="1:50" ht="12.75" customHeight="1" x14ac:dyDescent="0.2">
      <c r="A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N266" s="4"/>
      <c r="AO266" s="4"/>
      <c r="AP266" s="4"/>
      <c r="AQ266" s="4"/>
      <c r="AR266" s="4"/>
      <c r="AS266" s="4"/>
      <c r="AT266" s="4"/>
      <c r="AU266" s="4"/>
      <c r="AV266" s="4"/>
      <c r="AX266" s="4"/>
    </row>
    <row r="267" spans="1:50" ht="12.75" customHeight="1" x14ac:dyDescent="0.2">
      <c r="A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N267" s="4"/>
      <c r="AO267" s="4"/>
      <c r="AP267" s="4"/>
      <c r="AQ267" s="4"/>
      <c r="AR267" s="4"/>
      <c r="AS267" s="4"/>
      <c r="AT267" s="4"/>
      <c r="AU267" s="4"/>
      <c r="AV267" s="4"/>
      <c r="AX267" s="4"/>
    </row>
    <row r="268" spans="1:50" ht="12.75" customHeight="1" x14ac:dyDescent="0.2">
      <c r="A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N268" s="4"/>
      <c r="AO268" s="4"/>
      <c r="AP268" s="4"/>
      <c r="AQ268" s="4"/>
      <c r="AR268" s="4"/>
      <c r="AS268" s="4"/>
      <c r="AT268" s="4"/>
      <c r="AU268" s="4"/>
      <c r="AV268" s="4"/>
      <c r="AX268" s="4"/>
    </row>
    <row r="269" spans="1:50" ht="12.75" customHeight="1" x14ac:dyDescent="0.2">
      <c r="A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N269" s="4"/>
      <c r="AO269" s="4"/>
      <c r="AP269" s="4"/>
      <c r="AQ269" s="4"/>
      <c r="AR269" s="4"/>
      <c r="AS269" s="4"/>
      <c r="AT269" s="4"/>
      <c r="AU269" s="4"/>
      <c r="AV269" s="4"/>
      <c r="AX269" s="4"/>
    </row>
    <row r="270" spans="1:50" ht="12.75" customHeight="1" x14ac:dyDescent="0.2">
      <c r="A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N270" s="4"/>
      <c r="AO270" s="4"/>
      <c r="AP270" s="4"/>
      <c r="AQ270" s="4"/>
      <c r="AR270" s="4"/>
      <c r="AS270" s="4"/>
      <c r="AT270" s="4"/>
      <c r="AU270" s="4"/>
      <c r="AV270" s="4"/>
      <c r="AX270" s="4"/>
    </row>
    <row r="271" spans="1:50" ht="12.75" customHeight="1" x14ac:dyDescent="0.2">
      <c r="A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N271" s="4"/>
      <c r="AO271" s="4"/>
      <c r="AP271" s="4"/>
      <c r="AQ271" s="4"/>
      <c r="AR271" s="4"/>
      <c r="AS271" s="4"/>
      <c r="AT271" s="4"/>
      <c r="AU271" s="4"/>
      <c r="AV271" s="4"/>
      <c r="AX271" s="4"/>
    </row>
    <row r="272" spans="1:50" ht="12.75" customHeight="1" x14ac:dyDescent="0.2">
      <c r="A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N272" s="4"/>
      <c r="AO272" s="4"/>
      <c r="AP272" s="4"/>
      <c r="AQ272" s="4"/>
      <c r="AR272" s="4"/>
      <c r="AS272" s="4"/>
      <c r="AT272" s="4"/>
      <c r="AU272" s="4"/>
      <c r="AV272" s="4"/>
      <c r="AX272" s="4"/>
    </row>
    <row r="273" spans="1:50" ht="12.75" customHeight="1" x14ac:dyDescent="0.2">
      <c r="A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N273" s="4"/>
      <c r="AO273" s="4"/>
      <c r="AP273" s="4"/>
      <c r="AQ273" s="4"/>
      <c r="AR273" s="4"/>
      <c r="AS273" s="4"/>
      <c r="AT273" s="4"/>
      <c r="AU273" s="4"/>
      <c r="AV273" s="4"/>
      <c r="AX273" s="4"/>
    </row>
    <row r="274" spans="1:50" ht="12.75" customHeight="1" x14ac:dyDescent="0.2">
      <c r="A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N274" s="4"/>
      <c r="AO274" s="4"/>
      <c r="AP274" s="4"/>
      <c r="AQ274" s="4"/>
      <c r="AR274" s="4"/>
      <c r="AS274" s="4"/>
      <c r="AT274" s="4"/>
      <c r="AU274" s="4"/>
      <c r="AV274" s="4"/>
      <c r="AX274" s="4"/>
    </row>
    <row r="275" spans="1:50" ht="12.75" customHeight="1" x14ac:dyDescent="0.2">
      <c r="A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N275" s="4"/>
      <c r="AO275" s="4"/>
      <c r="AP275" s="4"/>
      <c r="AQ275" s="4"/>
      <c r="AR275" s="4"/>
      <c r="AS275" s="4"/>
      <c r="AT275" s="4"/>
      <c r="AU275" s="4"/>
      <c r="AV275" s="4"/>
      <c r="AX275" s="4"/>
    </row>
    <row r="276" spans="1:50" ht="12.75" customHeight="1" x14ac:dyDescent="0.2">
      <c r="A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N276" s="4"/>
      <c r="AO276" s="4"/>
      <c r="AP276" s="4"/>
      <c r="AQ276" s="4"/>
      <c r="AR276" s="4"/>
      <c r="AS276" s="4"/>
      <c r="AT276" s="4"/>
      <c r="AU276" s="4"/>
      <c r="AV276" s="4"/>
      <c r="AX276" s="4"/>
    </row>
    <row r="277" spans="1:50" ht="12.75" customHeight="1" x14ac:dyDescent="0.2">
      <c r="A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N277" s="4"/>
      <c r="AO277" s="4"/>
      <c r="AP277" s="4"/>
      <c r="AQ277" s="4"/>
      <c r="AR277" s="4"/>
      <c r="AS277" s="4"/>
      <c r="AT277" s="4"/>
      <c r="AU277" s="4"/>
      <c r="AV277" s="4"/>
      <c r="AX277" s="4"/>
    </row>
    <row r="278" spans="1:50" ht="12.75" customHeight="1" x14ac:dyDescent="0.2">
      <c r="A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N278" s="4"/>
      <c r="AO278" s="4"/>
      <c r="AP278" s="4"/>
      <c r="AQ278" s="4"/>
      <c r="AR278" s="4"/>
      <c r="AS278" s="4"/>
      <c r="AT278" s="4"/>
      <c r="AU278" s="4"/>
      <c r="AV278" s="4"/>
      <c r="AX278" s="4"/>
    </row>
    <row r="279" spans="1:50" ht="12.75" customHeight="1" x14ac:dyDescent="0.2">
      <c r="A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N279" s="4"/>
      <c r="AO279" s="4"/>
      <c r="AP279" s="4"/>
      <c r="AQ279" s="4"/>
      <c r="AR279" s="4"/>
      <c r="AS279" s="4"/>
      <c r="AT279" s="4"/>
      <c r="AU279" s="4"/>
      <c r="AV279" s="4"/>
      <c r="AX279" s="4"/>
    </row>
    <row r="280" spans="1:50" ht="12.75" customHeight="1" x14ac:dyDescent="0.2">
      <c r="A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N280" s="4"/>
      <c r="AO280" s="4"/>
      <c r="AP280" s="4"/>
      <c r="AQ280" s="4"/>
      <c r="AR280" s="4"/>
      <c r="AS280" s="4"/>
      <c r="AT280" s="4"/>
      <c r="AU280" s="4"/>
      <c r="AV280" s="4"/>
      <c r="AX280" s="4"/>
    </row>
    <row r="281" spans="1:50" ht="12.75" customHeight="1" x14ac:dyDescent="0.2">
      <c r="A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N281" s="4"/>
      <c r="AO281" s="4"/>
      <c r="AP281" s="4"/>
      <c r="AQ281" s="4"/>
      <c r="AR281" s="4"/>
      <c r="AS281" s="4"/>
      <c r="AT281" s="4"/>
      <c r="AU281" s="4"/>
      <c r="AV281" s="4"/>
      <c r="AX281" s="4"/>
    </row>
    <row r="282" spans="1:50" ht="12.75" customHeight="1" x14ac:dyDescent="0.2">
      <c r="A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N282" s="4"/>
      <c r="AO282" s="4"/>
      <c r="AP282" s="4"/>
      <c r="AQ282" s="4"/>
      <c r="AR282" s="4"/>
      <c r="AS282" s="4"/>
      <c r="AT282" s="4"/>
      <c r="AU282" s="4"/>
      <c r="AV282" s="4"/>
      <c r="AX282" s="4"/>
    </row>
    <row r="283" spans="1:50" ht="12.75" customHeight="1" x14ac:dyDescent="0.2">
      <c r="A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N283" s="4"/>
      <c r="AO283" s="4"/>
      <c r="AP283" s="4"/>
      <c r="AQ283" s="4"/>
      <c r="AR283" s="4"/>
      <c r="AS283" s="4"/>
      <c r="AT283" s="4"/>
      <c r="AU283" s="4"/>
      <c r="AV283" s="4"/>
      <c r="AX283" s="4"/>
    </row>
    <row r="284" spans="1:50" ht="12.75" customHeight="1" x14ac:dyDescent="0.2">
      <c r="A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N284" s="4"/>
      <c r="AO284" s="4"/>
      <c r="AP284" s="4"/>
      <c r="AQ284" s="4"/>
      <c r="AR284" s="4"/>
      <c r="AS284" s="4"/>
      <c r="AT284" s="4"/>
      <c r="AU284" s="4"/>
      <c r="AV284" s="4"/>
      <c r="AX284" s="4"/>
    </row>
    <row r="285" spans="1:50" ht="12.75" customHeight="1" x14ac:dyDescent="0.2">
      <c r="A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N285" s="4"/>
      <c r="AO285" s="4"/>
      <c r="AP285" s="4"/>
      <c r="AQ285" s="4"/>
      <c r="AR285" s="4"/>
      <c r="AS285" s="4"/>
      <c r="AT285" s="4"/>
      <c r="AU285" s="4"/>
      <c r="AV285" s="4"/>
      <c r="AX285" s="4"/>
    </row>
    <row r="286" spans="1:50" ht="12.75" customHeight="1" x14ac:dyDescent="0.2">
      <c r="A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N286" s="4"/>
      <c r="AO286" s="4"/>
      <c r="AP286" s="4"/>
      <c r="AQ286" s="4"/>
      <c r="AR286" s="4"/>
      <c r="AS286" s="4"/>
      <c r="AT286" s="4"/>
      <c r="AU286" s="4"/>
      <c r="AV286" s="4"/>
      <c r="AX286" s="4"/>
    </row>
    <row r="287" spans="1:50" ht="12.75" customHeight="1" x14ac:dyDescent="0.2">
      <c r="A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N287" s="4"/>
      <c r="AO287" s="4"/>
      <c r="AP287" s="4"/>
      <c r="AQ287" s="4"/>
      <c r="AR287" s="4"/>
      <c r="AS287" s="4"/>
      <c r="AT287" s="4"/>
      <c r="AU287" s="4"/>
      <c r="AV287" s="4"/>
      <c r="AX287" s="4"/>
    </row>
    <row r="288" spans="1:50" ht="12.75" customHeight="1" x14ac:dyDescent="0.2">
      <c r="A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N288" s="4"/>
      <c r="AO288" s="4"/>
      <c r="AP288" s="4"/>
      <c r="AQ288" s="4"/>
      <c r="AR288" s="4"/>
      <c r="AS288" s="4"/>
      <c r="AT288" s="4"/>
      <c r="AU288" s="4"/>
      <c r="AV288" s="4"/>
      <c r="AX288" s="4"/>
    </row>
    <row r="289" spans="1:50" ht="12.75" customHeight="1" x14ac:dyDescent="0.2">
      <c r="A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N289" s="4"/>
      <c r="AO289" s="4"/>
      <c r="AP289" s="4"/>
      <c r="AQ289" s="4"/>
      <c r="AR289" s="4"/>
      <c r="AS289" s="4"/>
      <c r="AT289" s="4"/>
      <c r="AU289" s="4"/>
      <c r="AV289" s="4"/>
      <c r="AX289" s="4"/>
    </row>
    <row r="290" spans="1:50" ht="12.75" customHeight="1" x14ac:dyDescent="0.2">
      <c r="A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N290" s="4"/>
      <c r="AO290" s="4"/>
      <c r="AP290" s="4"/>
      <c r="AQ290" s="4"/>
      <c r="AR290" s="4"/>
      <c r="AS290" s="4"/>
      <c r="AT290" s="4"/>
      <c r="AU290" s="4"/>
      <c r="AV290" s="4"/>
      <c r="AX290" s="4"/>
    </row>
    <row r="291" spans="1:50" ht="12.75" customHeight="1" x14ac:dyDescent="0.2">
      <c r="A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N291" s="4"/>
      <c r="AO291" s="4"/>
      <c r="AP291" s="4"/>
      <c r="AQ291" s="4"/>
      <c r="AR291" s="4"/>
      <c r="AS291" s="4"/>
      <c r="AT291" s="4"/>
      <c r="AU291" s="4"/>
      <c r="AV291" s="4"/>
      <c r="AX291" s="4"/>
    </row>
    <row r="292" spans="1:50" ht="12.75" customHeight="1" x14ac:dyDescent="0.2">
      <c r="A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N292" s="4"/>
      <c r="AO292" s="4"/>
      <c r="AP292" s="4"/>
      <c r="AQ292" s="4"/>
      <c r="AR292" s="4"/>
      <c r="AS292" s="4"/>
      <c r="AT292" s="4"/>
      <c r="AU292" s="4"/>
      <c r="AV292" s="4"/>
      <c r="AX292" s="4"/>
    </row>
    <row r="293" spans="1:50" ht="12.75" customHeight="1" x14ac:dyDescent="0.2">
      <c r="A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N293" s="4"/>
      <c r="AO293" s="4"/>
      <c r="AP293" s="4"/>
      <c r="AQ293" s="4"/>
      <c r="AR293" s="4"/>
      <c r="AS293" s="4"/>
      <c r="AT293" s="4"/>
      <c r="AU293" s="4"/>
      <c r="AV293" s="4"/>
      <c r="AX293" s="4"/>
    </row>
    <row r="294" spans="1:50" ht="12.75" customHeight="1" x14ac:dyDescent="0.2">
      <c r="A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N294" s="4"/>
      <c r="AO294" s="4"/>
      <c r="AP294" s="4"/>
      <c r="AQ294" s="4"/>
      <c r="AR294" s="4"/>
      <c r="AS294" s="4"/>
      <c r="AT294" s="4"/>
      <c r="AU294" s="4"/>
      <c r="AV294" s="4"/>
      <c r="AX294" s="4"/>
    </row>
    <row r="295" spans="1:50" ht="12.75" customHeight="1" x14ac:dyDescent="0.2">
      <c r="A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N295" s="4"/>
      <c r="AO295" s="4"/>
      <c r="AP295" s="4"/>
      <c r="AQ295" s="4"/>
      <c r="AR295" s="4"/>
      <c r="AS295" s="4"/>
      <c r="AT295" s="4"/>
      <c r="AU295" s="4"/>
      <c r="AV295" s="4"/>
      <c r="AX295" s="4"/>
    </row>
    <row r="296" spans="1:50" ht="12.75" customHeight="1" x14ac:dyDescent="0.2">
      <c r="A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N296" s="4"/>
      <c r="AO296" s="4"/>
      <c r="AP296" s="4"/>
      <c r="AQ296" s="4"/>
      <c r="AR296" s="4"/>
      <c r="AS296" s="4"/>
      <c r="AT296" s="4"/>
      <c r="AU296" s="4"/>
      <c r="AV296" s="4"/>
      <c r="AX296" s="4"/>
    </row>
    <row r="297" spans="1:50" ht="12.75" customHeight="1" x14ac:dyDescent="0.2">
      <c r="A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N297" s="4"/>
      <c r="AO297" s="4"/>
      <c r="AP297" s="4"/>
      <c r="AQ297" s="4"/>
      <c r="AR297" s="4"/>
      <c r="AS297" s="4"/>
      <c r="AT297" s="4"/>
      <c r="AU297" s="4"/>
      <c r="AV297" s="4"/>
      <c r="AX297" s="4"/>
    </row>
    <row r="298" spans="1:50" ht="12.75" customHeight="1" x14ac:dyDescent="0.2">
      <c r="A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N298" s="4"/>
      <c r="AO298" s="4"/>
      <c r="AP298" s="4"/>
      <c r="AQ298" s="4"/>
      <c r="AR298" s="4"/>
      <c r="AS298" s="4"/>
      <c r="AT298" s="4"/>
      <c r="AU298" s="4"/>
      <c r="AV298" s="4"/>
      <c r="AX298" s="4"/>
    </row>
    <row r="299" spans="1:50" ht="12.75" customHeight="1" x14ac:dyDescent="0.2">
      <c r="A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N299" s="4"/>
      <c r="AO299" s="4"/>
      <c r="AP299" s="4"/>
      <c r="AQ299" s="4"/>
      <c r="AR299" s="4"/>
      <c r="AS299" s="4"/>
      <c r="AT299" s="4"/>
      <c r="AU299" s="4"/>
      <c r="AV299" s="4"/>
      <c r="AX299" s="4"/>
    </row>
    <row r="300" spans="1:50" ht="12.75" customHeight="1" x14ac:dyDescent="0.2">
      <c r="A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N300" s="4"/>
      <c r="AO300" s="4"/>
      <c r="AP300" s="4"/>
      <c r="AQ300" s="4"/>
      <c r="AR300" s="4"/>
      <c r="AS300" s="4"/>
      <c r="AT300" s="4"/>
      <c r="AU300" s="4"/>
      <c r="AV300" s="4"/>
      <c r="AX300" s="4"/>
    </row>
    <row r="301" spans="1:50" ht="12.75" customHeight="1" x14ac:dyDescent="0.2">
      <c r="A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N301" s="4"/>
      <c r="AO301" s="4"/>
      <c r="AP301" s="4"/>
      <c r="AQ301" s="4"/>
      <c r="AR301" s="4"/>
      <c r="AS301" s="4"/>
      <c r="AT301" s="4"/>
      <c r="AU301" s="4"/>
      <c r="AV301" s="4"/>
      <c r="AX301" s="4"/>
    </row>
    <row r="302" spans="1:50" ht="12.75" customHeight="1" x14ac:dyDescent="0.2">
      <c r="A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N302" s="4"/>
      <c r="AO302" s="4"/>
      <c r="AP302" s="4"/>
      <c r="AQ302" s="4"/>
      <c r="AR302" s="4"/>
      <c r="AS302" s="4"/>
      <c r="AT302" s="4"/>
      <c r="AU302" s="4"/>
      <c r="AV302" s="4"/>
      <c r="AX302" s="4"/>
    </row>
    <row r="303" spans="1:50" ht="12.75" customHeight="1" x14ac:dyDescent="0.2">
      <c r="A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N303" s="4"/>
      <c r="AO303" s="4"/>
      <c r="AP303" s="4"/>
      <c r="AQ303" s="4"/>
      <c r="AR303" s="4"/>
      <c r="AS303" s="4"/>
      <c r="AT303" s="4"/>
      <c r="AU303" s="4"/>
      <c r="AV303" s="4"/>
      <c r="AX303" s="4"/>
    </row>
    <row r="304" spans="1:50" ht="12.75" customHeight="1" x14ac:dyDescent="0.2">
      <c r="A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N304" s="4"/>
      <c r="AO304" s="4"/>
      <c r="AP304" s="4"/>
      <c r="AQ304" s="4"/>
      <c r="AR304" s="4"/>
      <c r="AS304" s="4"/>
      <c r="AT304" s="4"/>
      <c r="AU304" s="4"/>
      <c r="AV304" s="4"/>
      <c r="AX304" s="4"/>
    </row>
    <row r="305" spans="1:50" ht="12.75" customHeight="1" x14ac:dyDescent="0.2">
      <c r="A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N305" s="4"/>
      <c r="AO305" s="4"/>
      <c r="AP305" s="4"/>
      <c r="AQ305" s="4"/>
      <c r="AR305" s="4"/>
      <c r="AS305" s="4"/>
      <c r="AT305" s="4"/>
      <c r="AU305" s="4"/>
      <c r="AV305" s="4"/>
      <c r="AX305" s="4"/>
    </row>
    <row r="306" spans="1:50" ht="12.75" customHeight="1" x14ac:dyDescent="0.2">
      <c r="A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N306" s="4"/>
      <c r="AO306" s="4"/>
      <c r="AP306" s="4"/>
      <c r="AQ306" s="4"/>
      <c r="AR306" s="4"/>
      <c r="AS306" s="4"/>
      <c r="AT306" s="4"/>
      <c r="AU306" s="4"/>
      <c r="AV306" s="4"/>
      <c r="AX306" s="4"/>
    </row>
    <row r="307" spans="1:50" ht="12.75" customHeight="1" x14ac:dyDescent="0.2">
      <c r="A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N307" s="4"/>
      <c r="AO307" s="4"/>
      <c r="AP307" s="4"/>
      <c r="AQ307" s="4"/>
      <c r="AR307" s="4"/>
      <c r="AS307" s="4"/>
      <c r="AT307" s="4"/>
      <c r="AU307" s="4"/>
      <c r="AV307" s="4"/>
      <c r="AX307" s="4"/>
    </row>
    <row r="308" spans="1:50" ht="12.75" customHeight="1" x14ac:dyDescent="0.2">
      <c r="A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N308" s="4"/>
      <c r="AO308" s="4"/>
      <c r="AP308" s="4"/>
      <c r="AQ308" s="4"/>
      <c r="AR308" s="4"/>
      <c r="AS308" s="4"/>
      <c r="AT308" s="4"/>
      <c r="AU308" s="4"/>
      <c r="AV308" s="4"/>
      <c r="AX308" s="4"/>
    </row>
    <row r="309" spans="1:50" ht="12.75" customHeight="1" x14ac:dyDescent="0.2">
      <c r="A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N309" s="4"/>
      <c r="AO309" s="4"/>
      <c r="AP309" s="4"/>
      <c r="AQ309" s="4"/>
      <c r="AR309" s="4"/>
      <c r="AS309" s="4"/>
      <c r="AT309" s="4"/>
      <c r="AU309" s="4"/>
      <c r="AV309" s="4"/>
      <c r="AX309" s="4"/>
    </row>
    <row r="310" spans="1:50" ht="12.75" customHeight="1" x14ac:dyDescent="0.2">
      <c r="A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N310" s="4"/>
      <c r="AO310" s="4"/>
      <c r="AP310" s="4"/>
      <c r="AQ310" s="4"/>
      <c r="AR310" s="4"/>
      <c r="AS310" s="4"/>
      <c r="AT310" s="4"/>
      <c r="AU310" s="4"/>
      <c r="AV310" s="4"/>
      <c r="AX310" s="4"/>
    </row>
    <row r="311" spans="1:50" ht="12.75" customHeight="1" x14ac:dyDescent="0.2">
      <c r="A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N311" s="4"/>
      <c r="AO311" s="4"/>
      <c r="AP311" s="4"/>
      <c r="AQ311" s="4"/>
      <c r="AR311" s="4"/>
      <c r="AS311" s="4"/>
      <c r="AT311" s="4"/>
      <c r="AU311" s="4"/>
      <c r="AV311" s="4"/>
      <c r="AX311" s="4"/>
    </row>
    <row r="312" spans="1:50" ht="12.75" customHeight="1" x14ac:dyDescent="0.2">
      <c r="A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N312" s="4"/>
      <c r="AO312" s="4"/>
      <c r="AP312" s="4"/>
      <c r="AQ312" s="4"/>
      <c r="AR312" s="4"/>
      <c r="AS312" s="4"/>
      <c r="AT312" s="4"/>
      <c r="AU312" s="4"/>
      <c r="AV312" s="4"/>
      <c r="AX312" s="4"/>
    </row>
    <row r="313" spans="1:50" ht="12.75" customHeight="1" x14ac:dyDescent="0.2">
      <c r="A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N313" s="4"/>
      <c r="AO313" s="4"/>
      <c r="AP313" s="4"/>
      <c r="AQ313" s="4"/>
      <c r="AR313" s="4"/>
      <c r="AS313" s="4"/>
      <c r="AT313" s="4"/>
      <c r="AU313" s="4"/>
      <c r="AV313" s="4"/>
      <c r="AX313" s="4"/>
    </row>
    <row r="314" spans="1:50" ht="12.75" customHeight="1" x14ac:dyDescent="0.2">
      <c r="A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N314" s="4"/>
      <c r="AO314" s="4"/>
      <c r="AP314" s="4"/>
      <c r="AQ314" s="4"/>
      <c r="AR314" s="4"/>
      <c r="AS314" s="4"/>
      <c r="AT314" s="4"/>
      <c r="AU314" s="4"/>
      <c r="AV314" s="4"/>
      <c r="AX314" s="4"/>
    </row>
    <row r="315" spans="1:50" ht="12.75" customHeight="1" x14ac:dyDescent="0.2">
      <c r="A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N315" s="4"/>
      <c r="AO315" s="4"/>
      <c r="AP315" s="4"/>
      <c r="AQ315" s="4"/>
      <c r="AR315" s="4"/>
      <c r="AS315" s="4"/>
      <c r="AT315" s="4"/>
      <c r="AU315" s="4"/>
      <c r="AV315" s="4"/>
      <c r="AX315" s="4"/>
    </row>
    <row r="316" spans="1:50" ht="12.75" customHeight="1" x14ac:dyDescent="0.2">
      <c r="A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N316" s="4"/>
      <c r="AO316" s="4"/>
      <c r="AP316" s="4"/>
      <c r="AQ316" s="4"/>
      <c r="AR316" s="4"/>
      <c r="AS316" s="4"/>
      <c r="AT316" s="4"/>
      <c r="AU316" s="4"/>
      <c r="AV316" s="4"/>
      <c r="AX316" s="4"/>
    </row>
    <row r="317" spans="1:50" ht="12.75" customHeight="1" x14ac:dyDescent="0.2">
      <c r="A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N317" s="4"/>
      <c r="AO317" s="4"/>
      <c r="AP317" s="4"/>
      <c r="AQ317" s="4"/>
      <c r="AR317" s="4"/>
      <c r="AS317" s="4"/>
      <c r="AT317" s="4"/>
      <c r="AU317" s="4"/>
      <c r="AV317" s="4"/>
      <c r="AX317" s="4"/>
    </row>
    <row r="318" spans="1:50" ht="12.75" customHeight="1" x14ac:dyDescent="0.2">
      <c r="A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N318" s="4"/>
      <c r="AO318" s="4"/>
      <c r="AP318" s="4"/>
      <c r="AQ318" s="4"/>
      <c r="AR318" s="4"/>
      <c r="AS318" s="4"/>
      <c r="AT318" s="4"/>
      <c r="AU318" s="4"/>
      <c r="AV318" s="4"/>
      <c r="AX318" s="4"/>
    </row>
    <row r="319" spans="1:50" ht="12.75" customHeight="1" x14ac:dyDescent="0.2">
      <c r="A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N319" s="4"/>
      <c r="AO319" s="4"/>
      <c r="AP319" s="4"/>
      <c r="AQ319" s="4"/>
      <c r="AR319" s="4"/>
      <c r="AS319" s="4"/>
      <c r="AT319" s="4"/>
      <c r="AU319" s="4"/>
      <c r="AV319" s="4"/>
      <c r="AX319" s="4"/>
    </row>
    <row r="320" spans="1:50" ht="12.75" customHeight="1" x14ac:dyDescent="0.2">
      <c r="A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N320" s="4"/>
      <c r="AO320" s="4"/>
      <c r="AP320" s="4"/>
      <c r="AQ320" s="4"/>
      <c r="AR320" s="4"/>
      <c r="AS320" s="4"/>
      <c r="AT320" s="4"/>
      <c r="AU320" s="4"/>
      <c r="AV320" s="4"/>
      <c r="AX320" s="4"/>
    </row>
    <row r="321" spans="1:50" ht="12.75" customHeight="1" x14ac:dyDescent="0.2">
      <c r="A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N321" s="4"/>
      <c r="AO321" s="4"/>
      <c r="AP321" s="4"/>
      <c r="AQ321" s="4"/>
      <c r="AR321" s="4"/>
      <c r="AS321" s="4"/>
      <c r="AT321" s="4"/>
      <c r="AU321" s="4"/>
      <c r="AV321" s="4"/>
      <c r="AX321" s="4"/>
    </row>
    <row r="322" spans="1:50" ht="12.75" customHeight="1" x14ac:dyDescent="0.2">
      <c r="A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N322" s="4"/>
      <c r="AO322" s="4"/>
      <c r="AP322" s="4"/>
      <c r="AQ322" s="4"/>
      <c r="AR322" s="4"/>
      <c r="AS322" s="4"/>
      <c r="AT322" s="4"/>
      <c r="AU322" s="4"/>
      <c r="AV322" s="4"/>
      <c r="AX322" s="4"/>
    </row>
    <row r="323" spans="1:50" ht="12.75" customHeight="1" x14ac:dyDescent="0.2">
      <c r="A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N323" s="4"/>
      <c r="AO323" s="4"/>
      <c r="AP323" s="4"/>
      <c r="AQ323" s="4"/>
      <c r="AR323" s="4"/>
      <c r="AS323" s="4"/>
      <c r="AT323" s="4"/>
      <c r="AU323" s="4"/>
      <c r="AV323" s="4"/>
      <c r="AX323" s="4"/>
    </row>
    <row r="324" spans="1:50" ht="12.75" customHeight="1" x14ac:dyDescent="0.2">
      <c r="A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N324" s="4"/>
      <c r="AO324" s="4"/>
      <c r="AP324" s="4"/>
      <c r="AQ324" s="4"/>
      <c r="AR324" s="4"/>
      <c r="AS324" s="4"/>
      <c r="AT324" s="4"/>
      <c r="AU324" s="4"/>
      <c r="AV324" s="4"/>
      <c r="AX324" s="4"/>
    </row>
    <row r="325" spans="1:50" ht="12.75" customHeight="1" x14ac:dyDescent="0.2">
      <c r="A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N325" s="4"/>
      <c r="AO325" s="4"/>
      <c r="AP325" s="4"/>
      <c r="AQ325" s="4"/>
      <c r="AR325" s="4"/>
      <c r="AS325" s="4"/>
      <c r="AT325" s="4"/>
      <c r="AU325" s="4"/>
      <c r="AV325" s="4"/>
      <c r="AX325" s="4"/>
    </row>
    <row r="326" spans="1:50" ht="12.75" customHeight="1" x14ac:dyDescent="0.2">
      <c r="A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N326" s="4"/>
      <c r="AO326" s="4"/>
      <c r="AP326" s="4"/>
      <c r="AQ326" s="4"/>
      <c r="AR326" s="4"/>
      <c r="AS326" s="4"/>
      <c r="AT326" s="4"/>
      <c r="AU326" s="4"/>
      <c r="AV326" s="4"/>
      <c r="AX326" s="4"/>
    </row>
    <row r="327" spans="1:50" ht="12.75" customHeight="1" x14ac:dyDescent="0.2">
      <c r="A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N327" s="4"/>
      <c r="AO327" s="4"/>
      <c r="AP327" s="4"/>
      <c r="AQ327" s="4"/>
      <c r="AR327" s="4"/>
      <c r="AS327" s="4"/>
      <c r="AT327" s="4"/>
      <c r="AU327" s="4"/>
      <c r="AV327" s="4"/>
      <c r="AX327" s="4"/>
    </row>
    <row r="328" spans="1:50" ht="12.75" customHeight="1" x14ac:dyDescent="0.2">
      <c r="A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N328" s="4"/>
      <c r="AO328" s="4"/>
      <c r="AP328" s="4"/>
      <c r="AQ328" s="4"/>
      <c r="AR328" s="4"/>
      <c r="AS328" s="4"/>
      <c r="AT328" s="4"/>
      <c r="AU328" s="4"/>
      <c r="AV328" s="4"/>
      <c r="AX328" s="4"/>
    </row>
    <row r="329" spans="1:50" ht="12.75" customHeight="1" x14ac:dyDescent="0.2">
      <c r="A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N329" s="4"/>
      <c r="AO329" s="4"/>
      <c r="AP329" s="4"/>
      <c r="AQ329" s="4"/>
      <c r="AR329" s="4"/>
      <c r="AS329" s="4"/>
      <c r="AT329" s="4"/>
      <c r="AU329" s="4"/>
      <c r="AV329" s="4"/>
      <c r="AX329" s="4"/>
    </row>
    <row r="330" spans="1:50" ht="12.75" customHeight="1" x14ac:dyDescent="0.2">
      <c r="A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N330" s="4"/>
      <c r="AO330" s="4"/>
      <c r="AP330" s="4"/>
      <c r="AQ330" s="4"/>
      <c r="AR330" s="4"/>
      <c r="AS330" s="4"/>
      <c r="AT330" s="4"/>
      <c r="AU330" s="4"/>
      <c r="AV330" s="4"/>
      <c r="AX330" s="4"/>
    </row>
    <row r="331" spans="1:50" ht="12.75" customHeight="1" x14ac:dyDescent="0.2">
      <c r="A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N331" s="4"/>
      <c r="AO331" s="4"/>
      <c r="AP331" s="4"/>
      <c r="AQ331" s="4"/>
      <c r="AR331" s="4"/>
      <c r="AS331" s="4"/>
      <c r="AT331" s="4"/>
      <c r="AU331" s="4"/>
      <c r="AV331" s="4"/>
      <c r="AX331" s="4"/>
    </row>
    <row r="332" spans="1:50" ht="12.75" customHeight="1" x14ac:dyDescent="0.2">
      <c r="A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N332" s="4"/>
      <c r="AO332" s="4"/>
      <c r="AP332" s="4"/>
      <c r="AQ332" s="4"/>
      <c r="AR332" s="4"/>
      <c r="AS332" s="4"/>
      <c r="AT332" s="4"/>
      <c r="AU332" s="4"/>
      <c r="AV332" s="4"/>
      <c r="AX332" s="4"/>
    </row>
    <row r="333" spans="1:50" ht="12.75" customHeight="1" x14ac:dyDescent="0.2">
      <c r="A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N333" s="4"/>
      <c r="AO333" s="4"/>
      <c r="AP333" s="4"/>
      <c r="AQ333" s="4"/>
      <c r="AR333" s="4"/>
      <c r="AS333" s="4"/>
      <c r="AT333" s="4"/>
      <c r="AU333" s="4"/>
      <c r="AV333" s="4"/>
      <c r="AX333" s="4"/>
    </row>
    <row r="334" spans="1:50" ht="12.75" customHeight="1" x14ac:dyDescent="0.2">
      <c r="A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N334" s="4"/>
      <c r="AO334" s="4"/>
      <c r="AP334" s="4"/>
      <c r="AQ334" s="4"/>
      <c r="AR334" s="4"/>
      <c r="AS334" s="4"/>
      <c r="AT334" s="4"/>
      <c r="AU334" s="4"/>
      <c r="AV334" s="4"/>
      <c r="AX334" s="4"/>
    </row>
    <row r="335" spans="1:50" ht="12.75" customHeight="1" x14ac:dyDescent="0.2">
      <c r="A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N335" s="4"/>
      <c r="AO335" s="4"/>
      <c r="AP335" s="4"/>
      <c r="AQ335" s="4"/>
      <c r="AR335" s="4"/>
      <c r="AS335" s="4"/>
      <c r="AT335" s="4"/>
      <c r="AU335" s="4"/>
      <c r="AV335" s="4"/>
      <c r="AX335" s="4"/>
    </row>
    <row r="336" spans="1:50" ht="12.75" customHeight="1" x14ac:dyDescent="0.2">
      <c r="A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N336" s="4"/>
      <c r="AO336" s="4"/>
      <c r="AP336" s="4"/>
      <c r="AQ336" s="4"/>
      <c r="AR336" s="4"/>
      <c r="AS336" s="4"/>
      <c r="AT336" s="4"/>
      <c r="AU336" s="4"/>
      <c r="AV336" s="4"/>
      <c r="AX336" s="4"/>
    </row>
    <row r="337" spans="1:50" ht="12.75" customHeight="1" x14ac:dyDescent="0.2">
      <c r="A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N337" s="4"/>
      <c r="AO337" s="4"/>
      <c r="AP337" s="4"/>
      <c r="AQ337" s="4"/>
      <c r="AR337" s="4"/>
      <c r="AS337" s="4"/>
      <c r="AT337" s="4"/>
      <c r="AU337" s="4"/>
      <c r="AV337" s="4"/>
      <c r="AX337" s="4"/>
    </row>
    <row r="338" spans="1:50" ht="12.75" customHeight="1" x14ac:dyDescent="0.2">
      <c r="A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N338" s="4"/>
      <c r="AO338" s="4"/>
      <c r="AP338" s="4"/>
      <c r="AQ338" s="4"/>
      <c r="AR338" s="4"/>
      <c r="AS338" s="4"/>
      <c r="AT338" s="4"/>
      <c r="AU338" s="4"/>
      <c r="AV338" s="4"/>
      <c r="AX338" s="4"/>
    </row>
    <row r="339" spans="1:50" ht="12.75" customHeight="1" x14ac:dyDescent="0.2">
      <c r="A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N339" s="4"/>
      <c r="AO339" s="4"/>
      <c r="AP339" s="4"/>
      <c r="AQ339" s="4"/>
      <c r="AR339" s="4"/>
      <c r="AS339" s="4"/>
      <c r="AT339" s="4"/>
      <c r="AU339" s="4"/>
      <c r="AV339" s="4"/>
      <c r="AX339" s="4"/>
    </row>
    <row r="340" spans="1:50" ht="12.75" customHeight="1" x14ac:dyDescent="0.2">
      <c r="A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N340" s="4"/>
      <c r="AO340" s="4"/>
      <c r="AP340" s="4"/>
      <c r="AQ340" s="4"/>
      <c r="AR340" s="4"/>
      <c r="AS340" s="4"/>
      <c r="AT340" s="4"/>
      <c r="AU340" s="4"/>
      <c r="AV340" s="4"/>
      <c r="AX340" s="4"/>
    </row>
    <row r="341" spans="1:50" ht="12.75" customHeight="1" x14ac:dyDescent="0.2">
      <c r="A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N341" s="4"/>
      <c r="AO341" s="4"/>
      <c r="AP341" s="4"/>
      <c r="AQ341" s="4"/>
      <c r="AR341" s="4"/>
      <c r="AS341" s="4"/>
      <c r="AT341" s="4"/>
      <c r="AU341" s="4"/>
      <c r="AV341" s="4"/>
      <c r="AX341" s="4"/>
    </row>
    <row r="342" spans="1:50" ht="12.75" customHeight="1" x14ac:dyDescent="0.2">
      <c r="A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N342" s="4"/>
      <c r="AO342" s="4"/>
      <c r="AP342" s="4"/>
      <c r="AQ342" s="4"/>
      <c r="AR342" s="4"/>
      <c r="AS342" s="4"/>
      <c r="AT342" s="4"/>
      <c r="AU342" s="4"/>
      <c r="AV342" s="4"/>
      <c r="AX342" s="4"/>
    </row>
    <row r="343" spans="1:50" ht="12.75" customHeight="1" x14ac:dyDescent="0.2">
      <c r="A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N343" s="4"/>
      <c r="AO343" s="4"/>
      <c r="AP343" s="4"/>
      <c r="AQ343" s="4"/>
      <c r="AR343" s="4"/>
      <c r="AS343" s="4"/>
      <c r="AT343" s="4"/>
      <c r="AU343" s="4"/>
      <c r="AV343" s="4"/>
      <c r="AX343" s="4"/>
    </row>
    <row r="344" spans="1:50" ht="12.75" customHeight="1" x14ac:dyDescent="0.2">
      <c r="A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N344" s="4"/>
      <c r="AO344" s="4"/>
      <c r="AP344" s="4"/>
      <c r="AQ344" s="4"/>
      <c r="AR344" s="4"/>
      <c r="AS344" s="4"/>
      <c r="AT344" s="4"/>
      <c r="AU344" s="4"/>
      <c r="AV344" s="4"/>
      <c r="AX344" s="4"/>
    </row>
    <row r="345" spans="1:50" ht="12.75" customHeight="1" x14ac:dyDescent="0.2">
      <c r="A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N345" s="4"/>
      <c r="AO345" s="4"/>
      <c r="AP345" s="4"/>
      <c r="AQ345" s="4"/>
      <c r="AR345" s="4"/>
      <c r="AS345" s="4"/>
      <c r="AT345" s="4"/>
      <c r="AU345" s="4"/>
      <c r="AV345" s="4"/>
      <c r="AX345" s="4"/>
    </row>
    <row r="346" spans="1:50" ht="12.75" customHeight="1" x14ac:dyDescent="0.2">
      <c r="A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N346" s="4"/>
      <c r="AO346" s="4"/>
      <c r="AP346" s="4"/>
      <c r="AQ346" s="4"/>
      <c r="AR346" s="4"/>
      <c r="AS346" s="4"/>
      <c r="AT346" s="4"/>
      <c r="AU346" s="4"/>
      <c r="AV346" s="4"/>
      <c r="AX346" s="4"/>
    </row>
    <row r="347" spans="1:50" ht="12.75" customHeight="1" x14ac:dyDescent="0.2">
      <c r="A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N347" s="4"/>
      <c r="AO347" s="4"/>
      <c r="AP347" s="4"/>
      <c r="AQ347" s="4"/>
      <c r="AR347" s="4"/>
      <c r="AS347" s="4"/>
      <c r="AT347" s="4"/>
      <c r="AU347" s="4"/>
      <c r="AV347" s="4"/>
      <c r="AX347" s="4"/>
    </row>
    <row r="348" spans="1:50" ht="12.75" customHeight="1" x14ac:dyDescent="0.2">
      <c r="A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N348" s="4"/>
      <c r="AO348" s="4"/>
      <c r="AP348" s="4"/>
      <c r="AQ348" s="4"/>
      <c r="AR348" s="4"/>
      <c r="AS348" s="4"/>
      <c r="AT348" s="4"/>
      <c r="AU348" s="4"/>
      <c r="AV348" s="4"/>
      <c r="AX348" s="4"/>
    </row>
    <row r="349" spans="1:50" ht="12.75" customHeight="1" x14ac:dyDescent="0.2">
      <c r="A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N349" s="4"/>
      <c r="AO349" s="4"/>
      <c r="AP349" s="4"/>
      <c r="AQ349" s="4"/>
      <c r="AR349" s="4"/>
      <c r="AS349" s="4"/>
      <c r="AT349" s="4"/>
      <c r="AU349" s="4"/>
      <c r="AV349" s="4"/>
      <c r="AX349" s="4"/>
    </row>
    <row r="350" spans="1:50" ht="12.75" customHeight="1" x14ac:dyDescent="0.2">
      <c r="A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N350" s="4"/>
      <c r="AO350" s="4"/>
      <c r="AP350" s="4"/>
      <c r="AQ350" s="4"/>
      <c r="AR350" s="4"/>
      <c r="AS350" s="4"/>
      <c r="AT350" s="4"/>
      <c r="AU350" s="4"/>
      <c r="AV350" s="4"/>
      <c r="AX350" s="4"/>
    </row>
    <row r="351" spans="1:50" ht="12.75" customHeight="1" x14ac:dyDescent="0.2">
      <c r="A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N351" s="4"/>
      <c r="AO351" s="4"/>
      <c r="AP351" s="4"/>
      <c r="AQ351" s="4"/>
      <c r="AR351" s="4"/>
      <c r="AS351" s="4"/>
      <c r="AT351" s="4"/>
      <c r="AU351" s="4"/>
      <c r="AV351" s="4"/>
      <c r="AX351" s="4"/>
    </row>
    <row r="352" spans="1:50" ht="12.75" customHeight="1" x14ac:dyDescent="0.2">
      <c r="A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N352" s="4"/>
      <c r="AO352" s="4"/>
      <c r="AP352" s="4"/>
      <c r="AQ352" s="4"/>
      <c r="AR352" s="4"/>
      <c r="AS352" s="4"/>
      <c r="AT352" s="4"/>
      <c r="AU352" s="4"/>
      <c r="AV352" s="4"/>
      <c r="AX352" s="4"/>
    </row>
    <row r="353" spans="1:50" ht="12.75" customHeight="1" x14ac:dyDescent="0.2">
      <c r="A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N353" s="4"/>
      <c r="AO353" s="4"/>
      <c r="AP353" s="4"/>
      <c r="AQ353" s="4"/>
      <c r="AR353" s="4"/>
      <c r="AS353" s="4"/>
      <c r="AT353" s="4"/>
      <c r="AU353" s="4"/>
      <c r="AV353" s="4"/>
      <c r="AX353" s="4"/>
    </row>
    <row r="354" spans="1:50" ht="12.75" customHeight="1" x14ac:dyDescent="0.2">
      <c r="A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N354" s="4"/>
      <c r="AO354" s="4"/>
      <c r="AP354" s="4"/>
      <c r="AQ354" s="4"/>
      <c r="AR354" s="4"/>
      <c r="AS354" s="4"/>
      <c r="AT354" s="4"/>
      <c r="AU354" s="4"/>
      <c r="AV354" s="4"/>
      <c r="AX354" s="4"/>
    </row>
    <row r="355" spans="1:50" ht="12.75" customHeight="1" x14ac:dyDescent="0.2">
      <c r="A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N355" s="4"/>
      <c r="AO355" s="4"/>
      <c r="AP355" s="4"/>
      <c r="AQ355" s="4"/>
      <c r="AR355" s="4"/>
      <c r="AS355" s="4"/>
      <c r="AT355" s="4"/>
      <c r="AU355" s="4"/>
      <c r="AV355" s="4"/>
      <c r="AX355" s="4"/>
    </row>
    <row r="356" spans="1:50" ht="12.75" customHeight="1" x14ac:dyDescent="0.2">
      <c r="A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N356" s="4"/>
      <c r="AO356" s="4"/>
      <c r="AP356" s="4"/>
      <c r="AQ356" s="4"/>
      <c r="AR356" s="4"/>
      <c r="AS356" s="4"/>
      <c r="AT356" s="4"/>
      <c r="AU356" s="4"/>
      <c r="AV356" s="4"/>
      <c r="AX356" s="4"/>
    </row>
    <row r="357" spans="1:50" ht="12.75" customHeight="1" x14ac:dyDescent="0.2">
      <c r="A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N357" s="4"/>
      <c r="AO357" s="4"/>
      <c r="AP357" s="4"/>
      <c r="AQ357" s="4"/>
      <c r="AR357" s="4"/>
      <c r="AS357" s="4"/>
      <c r="AT357" s="4"/>
      <c r="AU357" s="4"/>
      <c r="AV357" s="4"/>
      <c r="AX357" s="4"/>
    </row>
    <row r="358" spans="1:50" ht="12.75" customHeight="1" x14ac:dyDescent="0.2">
      <c r="A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N358" s="4"/>
      <c r="AO358" s="4"/>
      <c r="AP358" s="4"/>
      <c r="AQ358" s="4"/>
      <c r="AR358" s="4"/>
      <c r="AS358" s="4"/>
      <c r="AT358" s="4"/>
      <c r="AU358" s="4"/>
      <c r="AV358" s="4"/>
      <c r="AX358" s="4"/>
    </row>
    <row r="359" spans="1:50" ht="12.75" customHeight="1" x14ac:dyDescent="0.2">
      <c r="A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N359" s="4"/>
      <c r="AO359" s="4"/>
      <c r="AP359" s="4"/>
      <c r="AQ359" s="4"/>
      <c r="AR359" s="4"/>
      <c r="AS359" s="4"/>
      <c r="AT359" s="4"/>
      <c r="AU359" s="4"/>
      <c r="AV359" s="4"/>
      <c r="AX359" s="4"/>
    </row>
    <row r="360" spans="1:50" ht="12.75" customHeight="1" x14ac:dyDescent="0.2">
      <c r="A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N360" s="4"/>
      <c r="AO360" s="4"/>
      <c r="AP360" s="4"/>
      <c r="AQ360" s="4"/>
      <c r="AR360" s="4"/>
      <c r="AS360" s="4"/>
      <c r="AT360" s="4"/>
      <c r="AU360" s="4"/>
      <c r="AV360" s="4"/>
      <c r="AX360" s="4"/>
    </row>
    <row r="361" spans="1:50" ht="12.75" customHeight="1" x14ac:dyDescent="0.2">
      <c r="A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N361" s="4"/>
      <c r="AO361" s="4"/>
      <c r="AP361" s="4"/>
      <c r="AQ361" s="4"/>
      <c r="AR361" s="4"/>
      <c r="AS361" s="4"/>
      <c r="AT361" s="4"/>
      <c r="AU361" s="4"/>
      <c r="AV361" s="4"/>
      <c r="AX361" s="4"/>
    </row>
    <row r="362" spans="1:50" ht="12.75" customHeight="1" x14ac:dyDescent="0.2">
      <c r="A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N362" s="4"/>
      <c r="AO362" s="4"/>
      <c r="AP362" s="4"/>
      <c r="AQ362" s="4"/>
      <c r="AR362" s="4"/>
      <c r="AS362" s="4"/>
      <c r="AT362" s="4"/>
      <c r="AU362" s="4"/>
      <c r="AV362" s="4"/>
      <c r="AX362" s="4"/>
    </row>
    <row r="363" spans="1:50" ht="12.75" customHeight="1" x14ac:dyDescent="0.2">
      <c r="A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N363" s="4"/>
      <c r="AO363" s="4"/>
      <c r="AP363" s="4"/>
      <c r="AQ363" s="4"/>
      <c r="AR363" s="4"/>
      <c r="AS363" s="4"/>
      <c r="AT363" s="4"/>
      <c r="AU363" s="4"/>
      <c r="AV363" s="4"/>
      <c r="AX363" s="4"/>
    </row>
    <row r="364" spans="1:50" ht="12.75" customHeight="1" x14ac:dyDescent="0.2">
      <c r="A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N364" s="4"/>
      <c r="AO364" s="4"/>
      <c r="AP364" s="4"/>
      <c r="AQ364" s="4"/>
      <c r="AR364" s="4"/>
      <c r="AS364" s="4"/>
      <c r="AT364" s="4"/>
      <c r="AU364" s="4"/>
      <c r="AV364" s="4"/>
      <c r="AX364" s="4"/>
    </row>
    <row r="365" spans="1:50" ht="12.75" customHeight="1" x14ac:dyDescent="0.2">
      <c r="A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N365" s="4"/>
      <c r="AO365" s="4"/>
      <c r="AP365" s="4"/>
      <c r="AQ365" s="4"/>
      <c r="AR365" s="4"/>
      <c r="AS365" s="4"/>
      <c r="AT365" s="4"/>
      <c r="AU365" s="4"/>
      <c r="AV365" s="4"/>
      <c r="AX365" s="4"/>
    </row>
    <row r="366" spans="1:50" ht="12.75" customHeight="1" x14ac:dyDescent="0.2">
      <c r="A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N366" s="4"/>
      <c r="AO366" s="4"/>
      <c r="AP366" s="4"/>
      <c r="AQ366" s="4"/>
      <c r="AR366" s="4"/>
      <c r="AS366" s="4"/>
      <c r="AT366" s="4"/>
      <c r="AU366" s="4"/>
      <c r="AV366" s="4"/>
      <c r="AX366" s="4"/>
    </row>
    <row r="367" spans="1:50" ht="12.75" customHeight="1" x14ac:dyDescent="0.2">
      <c r="A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N367" s="4"/>
      <c r="AO367" s="4"/>
      <c r="AP367" s="4"/>
      <c r="AQ367" s="4"/>
      <c r="AR367" s="4"/>
      <c r="AS367" s="4"/>
      <c r="AT367" s="4"/>
      <c r="AU367" s="4"/>
      <c r="AV367" s="4"/>
      <c r="AX367" s="4"/>
    </row>
    <row r="368" spans="1:50" ht="12.75" customHeight="1" x14ac:dyDescent="0.2">
      <c r="A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N368" s="4"/>
      <c r="AO368" s="4"/>
      <c r="AP368" s="4"/>
      <c r="AQ368" s="4"/>
      <c r="AR368" s="4"/>
      <c r="AS368" s="4"/>
      <c r="AT368" s="4"/>
      <c r="AU368" s="4"/>
      <c r="AV368" s="4"/>
      <c r="AX368" s="4"/>
    </row>
    <row r="369" spans="1:50" ht="12.75" customHeight="1" x14ac:dyDescent="0.2">
      <c r="A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N369" s="4"/>
      <c r="AO369" s="4"/>
      <c r="AP369" s="4"/>
      <c r="AQ369" s="4"/>
      <c r="AR369" s="4"/>
      <c r="AS369" s="4"/>
      <c r="AT369" s="4"/>
      <c r="AU369" s="4"/>
      <c r="AV369" s="4"/>
      <c r="AX369" s="4"/>
    </row>
    <row r="370" spans="1:50" ht="12.75" customHeight="1" x14ac:dyDescent="0.2">
      <c r="A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N370" s="4"/>
      <c r="AO370" s="4"/>
      <c r="AP370" s="4"/>
      <c r="AQ370" s="4"/>
      <c r="AR370" s="4"/>
      <c r="AS370" s="4"/>
      <c r="AT370" s="4"/>
      <c r="AU370" s="4"/>
      <c r="AV370" s="4"/>
      <c r="AX370" s="4"/>
    </row>
    <row r="371" spans="1:50" ht="12.75" customHeight="1" x14ac:dyDescent="0.2">
      <c r="A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N371" s="4"/>
      <c r="AO371" s="4"/>
      <c r="AP371" s="4"/>
      <c r="AQ371" s="4"/>
      <c r="AR371" s="4"/>
      <c r="AS371" s="4"/>
      <c r="AT371" s="4"/>
      <c r="AU371" s="4"/>
      <c r="AV371" s="4"/>
      <c r="AX371" s="4"/>
    </row>
    <row r="372" spans="1:50" ht="12.75" customHeight="1" x14ac:dyDescent="0.2">
      <c r="A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N372" s="4"/>
      <c r="AO372" s="4"/>
      <c r="AP372" s="4"/>
      <c r="AQ372" s="4"/>
      <c r="AR372" s="4"/>
      <c r="AS372" s="4"/>
      <c r="AT372" s="4"/>
      <c r="AU372" s="4"/>
      <c r="AV372" s="4"/>
      <c r="AX372" s="4"/>
    </row>
    <row r="373" spans="1:50" ht="12.75" customHeight="1" x14ac:dyDescent="0.2">
      <c r="A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N373" s="4"/>
      <c r="AO373" s="4"/>
      <c r="AP373" s="4"/>
      <c r="AQ373" s="4"/>
      <c r="AR373" s="4"/>
      <c r="AS373" s="4"/>
      <c r="AT373" s="4"/>
      <c r="AU373" s="4"/>
      <c r="AV373" s="4"/>
      <c r="AX373" s="4"/>
    </row>
    <row r="374" spans="1:50" ht="12.75" customHeight="1" x14ac:dyDescent="0.2">
      <c r="A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N374" s="4"/>
      <c r="AO374" s="4"/>
      <c r="AP374" s="4"/>
      <c r="AQ374" s="4"/>
      <c r="AR374" s="4"/>
      <c r="AS374" s="4"/>
      <c r="AT374" s="4"/>
      <c r="AU374" s="4"/>
      <c r="AV374" s="4"/>
      <c r="AX374" s="4"/>
    </row>
    <row r="375" spans="1:50" ht="12.75" customHeight="1" x14ac:dyDescent="0.2">
      <c r="A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N375" s="4"/>
      <c r="AO375" s="4"/>
      <c r="AP375" s="4"/>
      <c r="AQ375" s="4"/>
      <c r="AR375" s="4"/>
      <c r="AS375" s="4"/>
      <c r="AT375" s="4"/>
      <c r="AU375" s="4"/>
      <c r="AV375" s="4"/>
      <c r="AX375" s="4"/>
    </row>
    <row r="376" spans="1:50" ht="12.75" customHeight="1" x14ac:dyDescent="0.2">
      <c r="A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N376" s="4"/>
      <c r="AO376" s="4"/>
      <c r="AP376" s="4"/>
      <c r="AQ376" s="4"/>
      <c r="AR376" s="4"/>
      <c r="AS376" s="4"/>
      <c r="AT376" s="4"/>
      <c r="AU376" s="4"/>
      <c r="AV376" s="4"/>
      <c r="AX376" s="4"/>
    </row>
    <row r="377" spans="1:50" ht="12.75" customHeight="1" x14ac:dyDescent="0.2">
      <c r="A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N377" s="4"/>
      <c r="AO377" s="4"/>
      <c r="AP377" s="4"/>
      <c r="AQ377" s="4"/>
      <c r="AR377" s="4"/>
      <c r="AS377" s="4"/>
      <c r="AT377" s="4"/>
      <c r="AU377" s="4"/>
      <c r="AV377" s="4"/>
      <c r="AX377" s="4"/>
    </row>
    <row r="378" spans="1:50" ht="12.75" customHeight="1" x14ac:dyDescent="0.2">
      <c r="A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N378" s="4"/>
      <c r="AO378" s="4"/>
      <c r="AP378" s="4"/>
      <c r="AQ378" s="4"/>
      <c r="AR378" s="4"/>
      <c r="AS378" s="4"/>
      <c r="AT378" s="4"/>
      <c r="AU378" s="4"/>
      <c r="AV378" s="4"/>
      <c r="AX378" s="4"/>
    </row>
    <row r="379" spans="1:50" ht="12.75" customHeight="1" x14ac:dyDescent="0.2">
      <c r="A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N379" s="4"/>
      <c r="AO379" s="4"/>
      <c r="AP379" s="4"/>
      <c r="AQ379" s="4"/>
      <c r="AR379" s="4"/>
      <c r="AS379" s="4"/>
      <c r="AT379" s="4"/>
      <c r="AU379" s="4"/>
      <c r="AV379" s="4"/>
      <c r="AX379" s="4"/>
    </row>
    <row r="380" spans="1:50" ht="12.75" customHeight="1" x14ac:dyDescent="0.2">
      <c r="A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N380" s="4"/>
      <c r="AO380" s="4"/>
      <c r="AP380" s="4"/>
      <c r="AQ380" s="4"/>
      <c r="AR380" s="4"/>
      <c r="AS380" s="4"/>
      <c r="AT380" s="4"/>
      <c r="AU380" s="4"/>
      <c r="AV380" s="4"/>
      <c r="AX380" s="4"/>
    </row>
    <row r="381" spans="1:50" ht="12.75" customHeight="1" x14ac:dyDescent="0.2">
      <c r="A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N381" s="4"/>
      <c r="AO381" s="4"/>
      <c r="AP381" s="4"/>
      <c r="AQ381" s="4"/>
      <c r="AR381" s="4"/>
      <c r="AS381" s="4"/>
      <c r="AT381" s="4"/>
      <c r="AU381" s="4"/>
      <c r="AV381" s="4"/>
      <c r="AX381" s="4"/>
    </row>
    <row r="382" spans="1:50" ht="12.75" customHeight="1" x14ac:dyDescent="0.2">
      <c r="A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N382" s="4"/>
      <c r="AO382" s="4"/>
      <c r="AP382" s="4"/>
      <c r="AQ382" s="4"/>
      <c r="AR382" s="4"/>
      <c r="AS382" s="4"/>
      <c r="AT382" s="4"/>
      <c r="AU382" s="4"/>
      <c r="AV382" s="4"/>
      <c r="AX382" s="4"/>
    </row>
    <row r="383" spans="1:50" ht="12.75" customHeight="1" x14ac:dyDescent="0.2">
      <c r="A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N383" s="4"/>
      <c r="AO383" s="4"/>
      <c r="AP383" s="4"/>
      <c r="AQ383" s="4"/>
      <c r="AR383" s="4"/>
      <c r="AS383" s="4"/>
      <c r="AT383" s="4"/>
      <c r="AU383" s="4"/>
      <c r="AV383" s="4"/>
      <c r="AX383" s="4"/>
    </row>
    <row r="384" spans="1:50" ht="12.75" customHeight="1" x14ac:dyDescent="0.2">
      <c r="A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N384" s="4"/>
      <c r="AO384" s="4"/>
      <c r="AP384" s="4"/>
      <c r="AQ384" s="4"/>
      <c r="AR384" s="4"/>
      <c r="AS384" s="4"/>
      <c r="AT384" s="4"/>
      <c r="AU384" s="4"/>
      <c r="AV384" s="4"/>
      <c r="AX384" s="4"/>
    </row>
    <row r="385" spans="1:50" ht="12.75" customHeight="1" x14ac:dyDescent="0.2">
      <c r="A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N385" s="4"/>
      <c r="AO385" s="4"/>
      <c r="AP385" s="4"/>
      <c r="AQ385" s="4"/>
      <c r="AR385" s="4"/>
      <c r="AS385" s="4"/>
      <c r="AT385" s="4"/>
      <c r="AU385" s="4"/>
      <c r="AV385" s="4"/>
      <c r="AX385" s="4"/>
    </row>
    <row r="386" spans="1:50" ht="12.75" customHeight="1" x14ac:dyDescent="0.2">
      <c r="A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N386" s="4"/>
      <c r="AO386" s="4"/>
      <c r="AP386" s="4"/>
      <c r="AQ386" s="4"/>
      <c r="AR386" s="4"/>
      <c r="AS386" s="4"/>
      <c r="AT386" s="4"/>
      <c r="AU386" s="4"/>
      <c r="AV386" s="4"/>
      <c r="AX386" s="4"/>
    </row>
    <row r="387" spans="1:50" ht="12.75" customHeight="1" x14ac:dyDescent="0.2">
      <c r="A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N387" s="4"/>
      <c r="AO387" s="4"/>
      <c r="AP387" s="4"/>
      <c r="AQ387" s="4"/>
      <c r="AR387" s="4"/>
      <c r="AS387" s="4"/>
      <c r="AT387" s="4"/>
      <c r="AU387" s="4"/>
      <c r="AV387" s="4"/>
      <c r="AX387" s="4"/>
    </row>
    <row r="388" spans="1:50" ht="12.75" customHeight="1" x14ac:dyDescent="0.2">
      <c r="A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N388" s="4"/>
      <c r="AO388" s="4"/>
      <c r="AP388" s="4"/>
      <c r="AQ388" s="4"/>
      <c r="AR388" s="4"/>
      <c r="AS388" s="4"/>
      <c r="AT388" s="4"/>
      <c r="AU388" s="4"/>
      <c r="AV388" s="4"/>
      <c r="AX388" s="4"/>
    </row>
    <row r="389" spans="1:50" ht="12.75" customHeight="1" x14ac:dyDescent="0.2">
      <c r="A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N389" s="4"/>
      <c r="AO389" s="4"/>
      <c r="AP389" s="4"/>
      <c r="AQ389" s="4"/>
      <c r="AR389" s="4"/>
      <c r="AS389" s="4"/>
      <c r="AT389" s="4"/>
      <c r="AU389" s="4"/>
      <c r="AV389" s="4"/>
      <c r="AX389" s="4"/>
    </row>
    <row r="390" spans="1:50" ht="12.75" customHeight="1" x14ac:dyDescent="0.2">
      <c r="A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N390" s="4"/>
      <c r="AO390" s="4"/>
      <c r="AP390" s="4"/>
      <c r="AQ390" s="4"/>
      <c r="AR390" s="4"/>
      <c r="AS390" s="4"/>
      <c r="AT390" s="4"/>
      <c r="AU390" s="4"/>
      <c r="AV390" s="4"/>
      <c r="AX390" s="4"/>
    </row>
    <row r="391" spans="1:50" ht="12.75" customHeight="1" x14ac:dyDescent="0.2">
      <c r="A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N391" s="4"/>
      <c r="AO391" s="4"/>
      <c r="AP391" s="4"/>
      <c r="AQ391" s="4"/>
      <c r="AR391" s="4"/>
      <c r="AS391" s="4"/>
      <c r="AT391" s="4"/>
      <c r="AU391" s="4"/>
      <c r="AV391" s="4"/>
      <c r="AX391" s="4"/>
    </row>
    <row r="392" spans="1:50" ht="12.75" customHeight="1" x14ac:dyDescent="0.2">
      <c r="A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N392" s="4"/>
      <c r="AO392" s="4"/>
      <c r="AP392" s="4"/>
      <c r="AQ392" s="4"/>
      <c r="AR392" s="4"/>
      <c r="AS392" s="4"/>
      <c r="AT392" s="4"/>
      <c r="AU392" s="4"/>
      <c r="AV392" s="4"/>
      <c r="AX392" s="4"/>
    </row>
    <row r="393" spans="1:50" ht="12.75" customHeight="1" x14ac:dyDescent="0.2">
      <c r="A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N393" s="4"/>
      <c r="AO393" s="4"/>
      <c r="AP393" s="4"/>
      <c r="AQ393" s="4"/>
      <c r="AR393" s="4"/>
      <c r="AS393" s="4"/>
      <c r="AT393" s="4"/>
      <c r="AU393" s="4"/>
      <c r="AV393" s="4"/>
      <c r="AX393" s="4"/>
    </row>
    <row r="394" spans="1:50" ht="12.75" customHeight="1" x14ac:dyDescent="0.2">
      <c r="A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N394" s="4"/>
      <c r="AO394" s="4"/>
      <c r="AP394" s="4"/>
      <c r="AQ394" s="4"/>
      <c r="AR394" s="4"/>
      <c r="AS394" s="4"/>
      <c r="AT394" s="4"/>
      <c r="AU394" s="4"/>
      <c r="AV394" s="4"/>
      <c r="AX394" s="4"/>
    </row>
    <row r="395" spans="1:50" ht="12.75" customHeight="1" x14ac:dyDescent="0.2">
      <c r="A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N395" s="4"/>
      <c r="AO395" s="4"/>
      <c r="AP395" s="4"/>
      <c r="AQ395" s="4"/>
      <c r="AR395" s="4"/>
      <c r="AS395" s="4"/>
      <c r="AT395" s="4"/>
      <c r="AU395" s="4"/>
      <c r="AV395" s="4"/>
      <c r="AX395" s="4"/>
    </row>
    <row r="396" spans="1:50" ht="12.75" customHeight="1" x14ac:dyDescent="0.2">
      <c r="A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N396" s="4"/>
      <c r="AO396" s="4"/>
      <c r="AP396" s="4"/>
      <c r="AQ396" s="4"/>
      <c r="AR396" s="4"/>
      <c r="AS396" s="4"/>
      <c r="AT396" s="4"/>
      <c r="AU396" s="4"/>
      <c r="AV396" s="4"/>
      <c r="AX396" s="4"/>
    </row>
    <row r="397" spans="1:50" ht="12.75" customHeight="1" x14ac:dyDescent="0.2">
      <c r="A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N397" s="4"/>
      <c r="AO397" s="4"/>
      <c r="AP397" s="4"/>
      <c r="AQ397" s="4"/>
      <c r="AR397" s="4"/>
      <c r="AS397" s="4"/>
      <c r="AT397" s="4"/>
      <c r="AU397" s="4"/>
      <c r="AV397" s="4"/>
      <c r="AX397" s="4"/>
    </row>
    <row r="398" spans="1:50" ht="12.75" customHeight="1" x14ac:dyDescent="0.2">
      <c r="A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N398" s="4"/>
      <c r="AO398" s="4"/>
      <c r="AP398" s="4"/>
      <c r="AQ398" s="4"/>
      <c r="AR398" s="4"/>
      <c r="AS398" s="4"/>
      <c r="AT398" s="4"/>
      <c r="AU398" s="4"/>
      <c r="AV398" s="4"/>
      <c r="AX398" s="4"/>
    </row>
    <row r="399" spans="1:50" ht="12.75" customHeight="1" x14ac:dyDescent="0.2">
      <c r="A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N399" s="4"/>
      <c r="AO399" s="4"/>
      <c r="AP399" s="4"/>
      <c r="AQ399" s="4"/>
      <c r="AR399" s="4"/>
      <c r="AS399" s="4"/>
      <c r="AT399" s="4"/>
      <c r="AU399" s="4"/>
      <c r="AV399" s="4"/>
      <c r="AX399" s="4"/>
    </row>
    <row r="400" spans="1:50" ht="12.75" customHeight="1" x14ac:dyDescent="0.2">
      <c r="A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N400" s="4"/>
      <c r="AO400" s="4"/>
      <c r="AP400" s="4"/>
      <c r="AQ400" s="4"/>
      <c r="AR400" s="4"/>
      <c r="AS400" s="4"/>
      <c r="AT400" s="4"/>
      <c r="AU400" s="4"/>
      <c r="AV400" s="4"/>
      <c r="AX400" s="4"/>
    </row>
    <row r="401" spans="1:50" ht="12.75" customHeight="1" x14ac:dyDescent="0.2">
      <c r="A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N401" s="4"/>
      <c r="AO401" s="4"/>
      <c r="AP401" s="4"/>
      <c r="AQ401" s="4"/>
      <c r="AR401" s="4"/>
      <c r="AS401" s="4"/>
      <c r="AT401" s="4"/>
      <c r="AU401" s="4"/>
      <c r="AV401" s="4"/>
      <c r="AX401" s="4"/>
    </row>
    <row r="402" spans="1:50" ht="12.75" customHeight="1" x14ac:dyDescent="0.2">
      <c r="A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N402" s="4"/>
      <c r="AO402" s="4"/>
      <c r="AP402" s="4"/>
      <c r="AQ402" s="4"/>
      <c r="AR402" s="4"/>
      <c r="AS402" s="4"/>
      <c r="AT402" s="4"/>
      <c r="AU402" s="4"/>
      <c r="AV402" s="4"/>
      <c r="AX402" s="4"/>
    </row>
    <row r="403" spans="1:50" ht="12.75" customHeight="1" x14ac:dyDescent="0.2">
      <c r="A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N403" s="4"/>
      <c r="AO403" s="4"/>
      <c r="AP403" s="4"/>
      <c r="AQ403" s="4"/>
      <c r="AR403" s="4"/>
      <c r="AS403" s="4"/>
      <c r="AT403" s="4"/>
      <c r="AU403" s="4"/>
      <c r="AV403" s="4"/>
      <c r="AX403" s="4"/>
    </row>
    <row r="404" spans="1:50" ht="12.75" customHeight="1" x14ac:dyDescent="0.2">
      <c r="A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N404" s="4"/>
      <c r="AO404" s="4"/>
      <c r="AP404" s="4"/>
      <c r="AQ404" s="4"/>
      <c r="AR404" s="4"/>
      <c r="AS404" s="4"/>
      <c r="AT404" s="4"/>
      <c r="AU404" s="4"/>
      <c r="AV404" s="4"/>
      <c r="AX404" s="4"/>
    </row>
    <row r="405" spans="1:50" ht="12.75" customHeight="1" x14ac:dyDescent="0.2">
      <c r="A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N405" s="4"/>
      <c r="AO405" s="4"/>
      <c r="AP405" s="4"/>
      <c r="AQ405" s="4"/>
      <c r="AR405" s="4"/>
      <c r="AS405" s="4"/>
      <c r="AT405" s="4"/>
      <c r="AU405" s="4"/>
      <c r="AV405" s="4"/>
      <c r="AX405" s="4"/>
    </row>
    <row r="406" spans="1:50" ht="12.75" customHeight="1" x14ac:dyDescent="0.2">
      <c r="A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N406" s="4"/>
      <c r="AO406" s="4"/>
      <c r="AP406" s="4"/>
      <c r="AQ406" s="4"/>
      <c r="AR406" s="4"/>
      <c r="AS406" s="4"/>
      <c r="AT406" s="4"/>
      <c r="AU406" s="4"/>
      <c r="AV406" s="4"/>
      <c r="AX406" s="4"/>
    </row>
    <row r="407" spans="1:50" ht="12.75" customHeight="1" x14ac:dyDescent="0.2">
      <c r="A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N407" s="4"/>
      <c r="AO407" s="4"/>
      <c r="AP407" s="4"/>
      <c r="AQ407" s="4"/>
      <c r="AR407" s="4"/>
      <c r="AS407" s="4"/>
      <c r="AT407" s="4"/>
      <c r="AU407" s="4"/>
      <c r="AV407" s="4"/>
      <c r="AX407" s="4"/>
    </row>
    <row r="408" spans="1:50" ht="12.75" customHeight="1" x14ac:dyDescent="0.2">
      <c r="A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N408" s="4"/>
      <c r="AO408" s="4"/>
      <c r="AP408" s="4"/>
      <c r="AQ408" s="4"/>
      <c r="AR408" s="4"/>
      <c r="AS408" s="4"/>
      <c r="AT408" s="4"/>
      <c r="AU408" s="4"/>
      <c r="AV408" s="4"/>
      <c r="AX408" s="4"/>
    </row>
    <row r="409" spans="1:50" ht="12.75" customHeight="1" x14ac:dyDescent="0.2">
      <c r="A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N409" s="4"/>
      <c r="AO409" s="4"/>
      <c r="AP409" s="4"/>
      <c r="AQ409" s="4"/>
      <c r="AR409" s="4"/>
      <c r="AS409" s="4"/>
      <c r="AT409" s="4"/>
      <c r="AU409" s="4"/>
      <c r="AV409" s="4"/>
      <c r="AX409" s="4"/>
    </row>
    <row r="410" spans="1:50" ht="12.75" customHeight="1" x14ac:dyDescent="0.2">
      <c r="A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N410" s="4"/>
      <c r="AO410" s="4"/>
      <c r="AP410" s="4"/>
      <c r="AQ410" s="4"/>
      <c r="AR410" s="4"/>
      <c r="AS410" s="4"/>
      <c r="AT410" s="4"/>
      <c r="AU410" s="4"/>
      <c r="AV410" s="4"/>
      <c r="AX410" s="4"/>
    </row>
    <row r="411" spans="1:50" ht="12.75" customHeight="1" x14ac:dyDescent="0.2">
      <c r="A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N411" s="4"/>
      <c r="AO411" s="4"/>
      <c r="AP411" s="4"/>
      <c r="AQ411" s="4"/>
      <c r="AR411" s="4"/>
      <c r="AS411" s="4"/>
      <c r="AT411" s="4"/>
      <c r="AU411" s="4"/>
      <c r="AV411" s="4"/>
      <c r="AX411" s="4"/>
    </row>
    <row r="412" spans="1:50" ht="12.75" customHeight="1" x14ac:dyDescent="0.2">
      <c r="A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N412" s="4"/>
      <c r="AO412" s="4"/>
      <c r="AP412" s="4"/>
      <c r="AQ412" s="4"/>
      <c r="AR412" s="4"/>
      <c r="AS412" s="4"/>
      <c r="AT412" s="4"/>
      <c r="AU412" s="4"/>
      <c r="AV412" s="4"/>
      <c r="AX412" s="4"/>
    </row>
    <row r="413" spans="1:50" ht="12.75" customHeight="1" x14ac:dyDescent="0.2">
      <c r="A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N413" s="4"/>
      <c r="AO413" s="4"/>
      <c r="AP413" s="4"/>
      <c r="AQ413" s="4"/>
      <c r="AR413" s="4"/>
      <c r="AS413" s="4"/>
      <c r="AT413" s="4"/>
      <c r="AU413" s="4"/>
      <c r="AV413" s="4"/>
      <c r="AX413" s="4"/>
    </row>
    <row r="414" spans="1:50" ht="12.75" customHeight="1" x14ac:dyDescent="0.2">
      <c r="A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N414" s="4"/>
      <c r="AO414" s="4"/>
      <c r="AP414" s="4"/>
      <c r="AQ414" s="4"/>
      <c r="AR414" s="4"/>
      <c r="AS414" s="4"/>
      <c r="AT414" s="4"/>
      <c r="AU414" s="4"/>
      <c r="AV414" s="4"/>
      <c r="AX414" s="4"/>
    </row>
    <row r="415" spans="1:50" ht="12.75" customHeight="1" x14ac:dyDescent="0.2">
      <c r="A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N415" s="4"/>
      <c r="AO415" s="4"/>
      <c r="AP415" s="4"/>
      <c r="AQ415" s="4"/>
      <c r="AR415" s="4"/>
      <c r="AS415" s="4"/>
      <c r="AT415" s="4"/>
      <c r="AU415" s="4"/>
      <c r="AV415" s="4"/>
      <c r="AX415" s="4"/>
    </row>
    <row r="416" spans="1:50" ht="12.75" customHeight="1" x14ac:dyDescent="0.2">
      <c r="A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N416" s="4"/>
      <c r="AO416" s="4"/>
      <c r="AP416" s="4"/>
      <c r="AQ416" s="4"/>
      <c r="AR416" s="4"/>
      <c r="AS416" s="4"/>
      <c r="AT416" s="4"/>
      <c r="AU416" s="4"/>
      <c r="AV416" s="4"/>
      <c r="AX416" s="4"/>
    </row>
    <row r="417" spans="1:50" ht="12.75" customHeight="1" x14ac:dyDescent="0.2">
      <c r="A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N417" s="4"/>
      <c r="AO417" s="4"/>
      <c r="AP417" s="4"/>
      <c r="AQ417" s="4"/>
      <c r="AR417" s="4"/>
      <c r="AS417" s="4"/>
      <c r="AT417" s="4"/>
      <c r="AU417" s="4"/>
      <c r="AV417" s="4"/>
      <c r="AX417" s="4"/>
    </row>
    <row r="418" spans="1:50" ht="12.75" customHeight="1" x14ac:dyDescent="0.2">
      <c r="A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N418" s="4"/>
      <c r="AO418" s="4"/>
      <c r="AP418" s="4"/>
      <c r="AQ418" s="4"/>
      <c r="AR418" s="4"/>
      <c r="AS418" s="4"/>
      <c r="AT418" s="4"/>
      <c r="AU418" s="4"/>
      <c r="AV418" s="4"/>
      <c r="AX418" s="4"/>
    </row>
    <row r="419" spans="1:50" ht="12.75" customHeight="1" x14ac:dyDescent="0.2">
      <c r="A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N419" s="4"/>
      <c r="AO419" s="4"/>
      <c r="AP419" s="4"/>
      <c r="AQ419" s="4"/>
      <c r="AR419" s="4"/>
      <c r="AS419" s="4"/>
      <c r="AT419" s="4"/>
      <c r="AU419" s="4"/>
      <c r="AV419" s="4"/>
      <c r="AX419" s="4"/>
    </row>
    <row r="420" spans="1:50" ht="12.75" customHeight="1" x14ac:dyDescent="0.2">
      <c r="A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N420" s="4"/>
      <c r="AO420" s="4"/>
      <c r="AP420" s="4"/>
      <c r="AQ420" s="4"/>
      <c r="AR420" s="4"/>
      <c r="AS420" s="4"/>
      <c r="AT420" s="4"/>
      <c r="AU420" s="4"/>
      <c r="AV420" s="4"/>
      <c r="AX420" s="4"/>
    </row>
    <row r="421" spans="1:50" ht="12.75" customHeight="1" x14ac:dyDescent="0.2">
      <c r="A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N421" s="4"/>
      <c r="AO421" s="4"/>
      <c r="AP421" s="4"/>
      <c r="AQ421" s="4"/>
      <c r="AR421" s="4"/>
      <c r="AS421" s="4"/>
      <c r="AT421" s="4"/>
      <c r="AU421" s="4"/>
      <c r="AV421" s="4"/>
      <c r="AX421" s="4"/>
    </row>
    <row r="422" spans="1:50" ht="12.75" customHeight="1" x14ac:dyDescent="0.2">
      <c r="A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N422" s="4"/>
      <c r="AO422" s="4"/>
      <c r="AP422" s="4"/>
      <c r="AQ422" s="4"/>
      <c r="AR422" s="4"/>
      <c r="AS422" s="4"/>
      <c r="AT422" s="4"/>
      <c r="AU422" s="4"/>
      <c r="AV422" s="4"/>
      <c r="AX422" s="4"/>
    </row>
    <row r="423" spans="1:50" ht="12.75" customHeight="1" x14ac:dyDescent="0.2">
      <c r="A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N423" s="4"/>
      <c r="AO423" s="4"/>
      <c r="AP423" s="4"/>
      <c r="AQ423" s="4"/>
      <c r="AR423" s="4"/>
      <c r="AS423" s="4"/>
      <c r="AT423" s="4"/>
      <c r="AU423" s="4"/>
      <c r="AV423" s="4"/>
      <c r="AX423" s="4"/>
    </row>
    <row r="424" spans="1:50" ht="12.75" customHeight="1" x14ac:dyDescent="0.2">
      <c r="A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N424" s="4"/>
      <c r="AO424" s="4"/>
      <c r="AP424" s="4"/>
      <c r="AQ424" s="4"/>
      <c r="AR424" s="4"/>
      <c r="AS424" s="4"/>
      <c r="AT424" s="4"/>
      <c r="AU424" s="4"/>
      <c r="AV424" s="4"/>
      <c r="AX424" s="4"/>
    </row>
    <row r="425" spans="1:50" ht="12.75" customHeight="1" x14ac:dyDescent="0.2">
      <c r="A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N425" s="4"/>
      <c r="AO425" s="4"/>
      <c r="AP425" s="4"/>
      <c r="AQ425" s="4"/>
      <c r="AR425" s="4"/>
      <c r="AS425" s="4"/>
      <c r="AT425" s="4"/>
      <c r="AU425" s="4"/>
      <c r="AV425" s="4"/>
      <c r="AX425" s="4"/>
    </row>
    <row r="426" spans="1:50" ht="12.75" customHeight="1" x14ac:dyDescent="0.2">
      <c r="A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N426" s="4"/>
      <c r="AO426" s="4"/>
      <c r="AP426" s="4"/>
      <c r="AQ426" s="4"/>
      <c r="AR426" s="4"/>
      <c r="AS426" s="4"/>
      <c r="AT426" s="4"/>
      <c r="AU426" s="4"/>
      <c r="AV426" s="4"/>
      <c r="AX426" s="4"/>
    </row>
    <row r="427" spans="1:50" ht="12.75" customHeight="1" x14ac:dyDescent="0.2">
      <c r="A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N427" s="4"/>
      <c r="AO427" s="4"/>
      <c r="AP427" s="4"/>
      <c r="AQ427" s="4"/>
      <c r="AR427" s="4"/>
      <c r="AS427" s="4"/>
      <c r="AT427" s="4"/>
      <c r="AU427" s="4"/>
      <c r="AV427" s="4"/>
      <c r="AX427" s="4"/>
    </row>
    <row r="428" spans="1:50" ht="12.75" customHeight="1" x14ac:dyDescent="0.2">
      <c r="A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N428" s="4"/>
      <c r="AO428" s="4"/>
      <c r="AP428" s="4"/>
      <c r="AQ428" s="4"/>
      <c r="AR428" s="4"/>
      <c r="AS428" s="4"/>
      <c r="AT428" s="4"/>
      <c r="AU428" s="4"/>
      <c r="AV428" s="4"/>
      <c r="AX428" s="4"/>
    </row>
    <row r="429" spans="1:50" ht="12.75" customHeight="1" x14ac:dyDescent="0.2">
      <c r="A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N429" s="4"/>
      <c r="AO429" s="4"/>
      <c r="AP429" s="4"/>
      <c r="AQ429" s="4"/>
      <c r="AR429" s="4"/>
      <c r="AS429" s="4"/>
      <c r="AT429" s="4"/>
      <c r="AU429" s="4"/>
      <c r="AV429" s="4"/>
      <c r="AX429" s="4"/>
    </row>
    <row r="430" spans="1:50" ht="12.75" customHeight="1" x14ac:dyDescent="0.2">
      <c r="A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N430" s="4"/>
      <c r="AO430" s="4"/>
      <c r="AP430" s="4"/>
      <c r="AQ430" s="4"/>
      <c r="AR430" s="4"/>
      <c r="AS430" s="4"/>
      <c r="AT430" s="4"/>
      <c r="AU430" s="4"/>
      <c r="AV430" s="4"/>
      <c r="AX430" s="4"/>
    </row>
    <row r="431" spans="1:50" ht="12.75" customHeight="1" x14ac:dyDescent="0.2">
      <c r="A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N431" s="4"/>
      <c r="AO431" s="4"/>
      <c r="AP431" s="4"/>
      <c r="AQ431" s="4"/>
      <c r="AR431" s="4"/>
      <c r="AS431" s="4"/>
      <c r="AT431" s="4"/>
      <c r="AU431" s="4"/>
      <c r="AV431" s="4"/>
      <c r="AX431" s="4"/>
    </row>
    <row r="432" spans="1:50" ht="12.75" customHeight="1" x14ac:dyDescent="0.2">
      <c r="A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N432" s="4"/>
      <c r="AO432" s="4"/>
      <c r="AP432" s="4"/>
      <c r="AQ432" s="4"/>
      <c r="AR432" s="4"/>
      <c r="AS432" s="4"/>
      <c r="AT432" s="4"/>
      <c r="AU432" s="4"/>
      <c r="AV432" s="4"/>
      <c r="AX432" s="4"/>
    </row>
    <row r="433" spans="1:50" ht="12.75" customHeight="1" x14ac:dyDescent="0.2">
      <c r="A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N433" s="4"/>
      <c r="AO433" s="4"/>
      <c r="AP433" s="4"/>
      <c r="AQ433" s="4"/>
      <c r="AR433" s="4"/>
      <c r="AS433" s="4"/>
      <c r="AT433" s="4"/>
      <c r="AU433" s="4"/>
      <c r="AV433" s="4"/>
      <c r="AX433" s="4"/>
    </row>
    <row r="434" spans="1:50" ht="12.75" customHeight="1" x14ac:dyDescent="0.2">
      <c r="A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N434" s="4"/>
      <c r="AO434" s="4"/>
      <c r="AP434" s="4"/>
      <c r="AQ434" s="4"/>
      <c r="AR434" s="4"/>
      <c r="AS434" s="4"/>
      <c r="AT434" s="4"/>
      <c r="AU434" s="4"/>
      <c r="AV434" s="4"/>
      <c r="AX434" s="4"/>
    </row>
    <row r="435" spans="1:50" ht="12.75" customHeight="1" x14ac:dyDescent="0.2">
      <c r="A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N435" s="4"/>
      <c r="AO435" s="4"/>
      <c r="AP435" s="4"/>
      <c r="AQ435" s="4"/>
      <c r="AR435" s="4"/>
      <c r="AS435" s="4"/>
      <c r="AT435" s="4"/>
      <c r="AU435" s="4"/>
      <c r="AV435" s="4"/>
      <c r="AX435" s="4"/>
    </row>
    <row r="436" spans="1:50" ht="12.75" customHeight="1" x14ac:dyDescent="0.2">
      <c r="A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N436" s="4"/>
      <c r="AO436" s="4"/>
      <c r="AP436" s="4"/>
      <c r="AQ436" s="4"/>
      <c r="AR436" s="4"/>
      <c r="AS436" s="4"/>
      <c r="AT436" s="4"/>
      <c r="AU436" s="4"/>
      <c r="AV436" s="4"/>
      <c r="AX436" s="4"/>
    </row>
    <row r="437" spans="1:50" ht="12.75" customHeight="1" x14ac:dyDescent="0.2">
      <c r="A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N437" s="4"/>
      <c r="AO437" s="4"/>
      <c r="AP437" s="4"/>
      <c r="AQ437" s="4"/>
      <c r="AR437" s="4"/>
      <c r="AS437" s="4"/>
      <c r="AT437" s="4"/>
      <c r="AU437" s="4"/>
      <c r="AV437" s="4"/>
      <c r="AX437" s="4"/>
    </row>
    <row r="438" spans="1:50" ht="12.75" customHeight="1" x14ac:dyDescent="0.2">
      <c r="A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N438" s="4"/>
      <c r="AO438" s="4"/>
      <c r="AP438" s="4"/>
      <c r="AQ438" s="4"/>
      <c r="AR438" s="4"/>
      <c r="AS438" s="4"/>
      <c r="AT438" s="4"/>
      <c r="AU438" s="4"/>
      <c r="AV438" s="4"/>
      <c r="AX438" s="4"/>
    </row>
    <row r="439" spans="1:50" ht="12.75" customHeight="1" x14ac:dyDescent="0.2">
      <c r="A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N439" s="4"/>
      <c r="AO439" s="4"/>
      <c r="AP439" s="4"/>
      <c r="AQ439" s="4"/>
      <c r="AR439" s="4"/>
      <c r="AS439" s="4"/>
      <c r="AT439" s="4"/>
      <c r="AU439" s="4"/>
      <c r="AV439" s="4"/>
      <c r="AX439" s="4"/>
    </row>
    <row r="440" spans="1:50" ht="12.75" customHeight="1" x14ac:dyDescent="0.2">
      <c r="A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N440" s="4"/>
      <c r="AO440" s="4"/>
      <c r="AP440" s="4"/>
      <c r="AQ440" s="4"/>
      <c r="AR440" s="4"/>
      <c r="AS440" s="4"/>
      <c r="AT440" s="4"/>
      <c r="AU440" s="4"/>
      <c r="AV440" s="4"/>
      <c r="AX440" s="4"/>
    </row>
    <row r="441" spans="1:50" ht="12.75" customHeight="1" x14ac:dyDescent="0.2">
      <c r="A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N441" s="4"/>
      <c r="AO441" s="4"/>
      <c r="AP441" s="4"/>
      <c r="AQ441" s="4"/>
      <c r="AR441" s="4"/>
      <c r="AS441" s="4"/>
      <c r="AT441" s="4"/>
      <c r="AU441" s="4"/>
      <c r="AV441" s="4"/>
      <c r="AX441" s="4"/>
    </row>
    <row r="442" spans="1:50" ht="12.75" customHeight="1" x14ac:dyDescent="0.2">
      <c r="A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N442" s="4"/>
      <c r="AO442" s="4"/>
      <c r="AP442" s="4"/>
      <c r="AQ442" s="4"/>
      <c r="AR442" s="4"/>
      <c r="AS442" s="4"/>
      <c r="AT442" s="4"/>
      <c r="AU442" s="4"/>
      <c r="AV442" s="4"/>
      <c r="AX442" s="4"/>
    </row>
    <row r="443" spans="1:50" ht="12.75" customHeight="1" x14ac:dyDescent="0.2">
      <c r="A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N443" s="4"/>
      <c r="AO443" s="4"/>
      <c r="AP443" s="4"/>
      <c r="AQ443" s="4"/>
      <c r="AR443" s="4"/>
      <c r="AS443" s="4"/>
      <c r="AT443" s="4"/>
      <c r="AU443" s="4"/>
      <c r="AV443" s="4"/>
      <c r="AX443" s="4"/>
    </row>
    <row r="444" spans="1:50" ht="12.75" customHeight="1" x14ac:dyDescent="0.2">
      <c r="A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N444" s="4"/>
      <c r="AO444" s="4"/>
      <c r="AP444" s="4"/>
      <c r="AQ444" s="4"/>
      <c r="AR444" s="4"/>
      <c r="AS444" s="4"/>
      <c r="AT444" s="4"/>
      <c r="AU444" s="4"/>
      <c r="AV444" s="4"/>
      <c r="AX444" s="4"/>
    </row>
    <row r="445" spans="1:50" ht="12.75" customHeight="1" x14ac:dyDescent="0.2">
      <c r="A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N445" s="4"/>
      <c r="AO445" s="4"/>
      <c r="AP445" s="4"/>
      <c r="AQ445" s="4"/>
      <c r="AR445" s="4"/>
      <c r="AS445" s="4"/>
      <c r="AT445" s="4"/>
      <c r="AU445" s="4"/>
      <c r="AV445" s="4"/>
      <c r="AX445" s="4"/>
    </row>
    <row r="446" spans="1:50" ht="12.75" customHeight="1" x14ac:dyDescent="0.2">
      <c r="A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N446" s="4"/>
      <c r="AO446" s="4"/>
      <c r="AP446" s="4"/>
      <c r="AQ446" s="4"/>
      <c r="AR446" s="4"/>
      <c r="AS446" s="4"/>
      <c r="AT446" s="4"/>
      <c r="AU446" s="4"/>
      <c r="AV446" s="4"/>
      <c r="AX446" s="4"/>
    </row>
    <row r="447" spans="1:50" ht="12.75" customHeight="1" x14ac:dyDescent="0.2">
      <c r="A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N447" s="4"/>
      <c r="AO447" s="4"/>
      <c r="AP447" s="4"/>
      <c r="AQ447" s="4"/>
      <c r="AR447" s="4"/>
      <c r="AS447" s="4"/>
      <c r="AT447" s="4"/>
      <c r="AU447" s="4"/>
      <c r="AV447" s="4"/>
      <c r="AX447" s="4"/>
    </row>
    <row r="448" spans="1:50" ht="12.75" customHeight="1" x14ac:dyDescent="0.2">
      <c r="A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N448" s="4"/>
      <c r="AO448" s="4"/>
      <c r="AP448" s="4"/>
      <c r="AQ448" s="4"/>
      <c r="AR448" s="4"/>
      <c r="AS448" s="4"/>
      <c r="AT448" s="4"/>
      <c r="AU448" s="4"/>
      <c r="AV448" s="4"/>
      <c r="AX448" s="4"/>
    </row>
    <row r="449" spans="1:50" ht="12.75" customHeight="1" x14ac:dyDescent="0.2">
      <c r="A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N449" s="4"/>
      <c r="AO449" s="4"/>
      <c r="AP449" s="4"/>
      <c r="AQ449" s="4"/>
      <c r="AR449" s="4"/>
      <c r="AS449" s="4"/>
      <c r="AT449" s="4"/>
      <c r="AU449" s="4"/>
      <c r="AV449" s="4"/>
      <c r="AX449" s="4"/>
    </row>
    <row r="450" spans="1:50" ht="12.75" customHeight="1" x14ac:dyDescent="0.2">
      <c r="A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N450" s="4"/>
      <c r="AO450" s="4"/>
      <c r="AP450" s="4"/>
      <c r="AQ450" s="4"/>
      <c r="AR450" s="4"/>
      <c r="AS450" s="4"/>
      <c r="AT450" s="4"/>
      <c r="AU450" s="4"/>
      <c r="AV450" s="4"/>
      <c r="AX450" s="4"/>
    </row>
    <row r="451" spans="1:50" ht="12.75" customHeight="1" x14ac:dyDescent="0.2">
      <c r="A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N451" s="4"/>
      <c r="AO451" s="4"/>
      <c r="AP451" s="4"/>
      <c r="AQ451" s="4"/>
      <c r="AR451" s="4"/>
      <c r="AS451" s="4"/>
      <c r="AT451" s="4"/>
      <c r="AU451" s="4"/>
      <c r="AV451" s="4"/>
      <c r="AX451" s="4"/>
    </row>
    <row r="452" spans="1:50" ht="12.75" customHeight="1" x14ac:dyDescent="0.2">
      <c r="A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N452" s="4"/>
      <c r="AO452" s="4"/>
      <c r="AP452" s="4"/>
      <c r="AQ452" s="4"/>
      <c r="AR452" s="4"/>
      <c r="AS452" s="4"/>
      <c r="AT452" s="4"/>
      <c r="AU452" s="4"/>
      <c r="AV452" s="4"/>
      <c r="AX452" s="4"/>
    </row>
    <row r="453" spans="1:50" ht="12.75" customHeight="1" x14ac:dyDescent="0.2">
      <c r="A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N453" s="4"/>
      <c r="AO453" s="4"/>
      <c r="AP453" s="4"/>
      <c r="AQ453" s="4"/>
      <c r="AR453" s="4"/>
      <c r="AS453" s="4"/>
      <c r="AT453" s="4"/>
      <c r="AU453" s="4"/>
      <c r="AV453" s="4"/>
      <c r="AX453" s="4"/>
    </row>
    <row r="454" spans="1:50" ht="12.75" customHeight="1" x14ac:dyDescent="0.2">
      <c r="A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N454" s="4"/>
      <c r="AO454" s="4"/>
      <c r="AP454" s="4"/>
      <c r="AQ454" s="4"/>
      <c r="AR454" s="4"/>
      <c r="AS454" s="4"/>
      <c r="AT454" s="4"/>
      <c r="AU454" s="4"/>
      <c r="AV454" s="4"/>
      <c r="AX454" s="4"/>
    </row>
    <row r="455" spans="1:50" ht="12.75" customHeight="1" x14ac:dyDescent="0.2">
      <c r="A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N455" s="4"/>
      <c r="AO455" s="4"/>
      <c r="AP455" s="4"/>
      <c r="AQ455" s="4"/>
      <c r="AR455" s="4"/>
      <c r="AS455" s="4"/>
      <c r="AT455" s="4"/>
      <c r="AU455" s="4"/>
      <c r="AV455" s="4"/>
      <c r="AX455" s="4"/>
    </row>
    <row r="456" spans="1:50" ht="12.75" customHeight="1" x14ac:dyDescent="0.2">
      <c r="A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N456" s="4"/>
      <c r="AO456" s="4"/>
      <c r="AP456" s="4"/>
      <c r="AQ456" s="4"/>
      <c r="AR456" s="4"/>
      <c r="AS456" s="4"/>
      <c r="AT456" s="4"/>
      <c r="AU456" s="4"/>
      <c r="AV456" s="4"/>
      <c r="AX456" s="4"/>
    </row>
    <row r="457" spans="1:50" ht="12.75" customHeight="1" x14ac:dyDescent="0.2">
      <c r="A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N457" s="4"/>
      <c r="AO457" s="4"/>
      <c r="AP457" s="4"/>
      <c r="AQ457" s="4"/>
      <c r="AR457" s="4"/>
      <c r="AS457" s="4"/>
      <c r="AT457" s="4"/>
      <c r="AU457" s="4"/>
      <c r="AV457" s="4"/>
      <c r="AX457" s="4"/>
    </row>
    <row r="458" spans="1:50" ht="12.75" customHeight="1" x14ac:dyDescent="0.2">
      <c r="A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N458" s="4"/>
      <c r="AO458" s="4"/>
      <c r="AP458" s="4"/>
      <c r="AQ458" s="4"/>
      <c r="AR458" s="4"/>
      <c r="AS458" s="4"/>
      <c r="AT458" s="4"/>
      <c r="AU458" s="4"/>
      <c r="AV458" s="4"/>
      <c r="AX458" s="4"/>
    </row>
    <row r="459" spans="1:50" ht="12.75" customHeight="1" x14ac:dyDescent="0.2">
      <c r="A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N459" s="4"/>
      <c r="AO459" s="4"/>
      <c r="AP459" s="4"/>
      <c r="AQ459" s="4"/>
      <c r="AR459" s="4"/>
      <c r="AS459" s="4"/>
      <c r="AT459" s="4"/>
      <c r="AU459" s="4"/>
      <c r="AV459" s="4"/>
      <c r="AX459" s="4"/>
    </row>
    <row r="460" spans="1:50" ht="12.75" customHeight="1" x14ac:dyDescent="0.2">
      <c r="A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N460" s="4"/>
      <c r="AO460" s="4"/>
      <c r="AP460" s="4"/>
      <c r="AQ460" s="4"/>
      <c r="AR460" s="4"/>
      <c r="AS460" s="4"/>
      <c r="AT460" s="4"/>
      <c r="AU460" s="4"/>
      <c r="AV460" s="4"/>
      <c r="AX460" s="4"/>
    </row>
    <row r="461" spans="1:50" ht="12.75" customHeight="1" x14ac:dyDescent="0.2">
      <c r="A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N461" s="4"/>
      <c r="AO461" s="4"/>
      <c r="AP461" s="4"/>
      <c r="AQ461" s="4"/>
      <c r="AR461" s="4"/>
      <c r="AS461" s="4"/>
      <c r="AT461" s="4"/>
      <c r="AU461" s="4"/>
      <c r="AV461" s="4"/>
      <c r="AX461" s="4"/>
    </row>
    <row r="462" spans="1:50" ht="12.75" customHeight="1" x14ac:dyDescent="0.2">
      <c r="A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N462" s="4"/>
      <c r="AO462" s="4"/>
      <c r="AP462" s="4"/>
      <c r="AQ462" s="4"/>
      <c r="AR462" s="4"/>
      <c r="AS462" s="4"/>
      <c r="AT462" s="4"/>
      <c r="AU462" s="4"/>
      <c r="AV462" s="4"/>
      <c r="AX462" s="4"/>
    </row>
    <row r="463" spans="1:50" ht="12.75" customHeight="1" x14ac:dyDescent="0.2">
      <c r="A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N463" s="4"/>
      <c r="AO463" s="4"/>
      <c r="AP463" s="4"/>
      <c r="AQ463" s="4"/>
      <c r="AR463" s="4"/>
      <c r="AS463" s="4"/>
      <c r="AT463" s="4"/>
      <c r="AU463" s="4"/>
      <c r="AV463" s="4"/>
      <c r="AX463" s="4"/>
    </row>
    <row r="464" spans="1:50" ht="12.75" customHeight="1" x14ac:dyDescent="0.2">
      <c r="A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N464" s="4"/>
      <c r="AO464" s="4"/>
      <c r="AP464" s="4"/>
      <c r="AQ464" s="4"/>
      <c r="AR464" s="4"/>
      <c r="AS464" s="4"/>
      <c r="AT464" s="4"/>
      <c r="AU464" s="4"/>
      <c r="AV464" s="4"/>
      <c r="AX464" s="4"/>
    </row>
    <row r="465" spans="1:50" ht="12.75" customHeight="1" x14ac:dyDescent="0.2">
      <c r="A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N465" s="4"/>
      <c r="AO465" s="4"/>
      <c r="AP465" s="4"/>
      <c r="AQ465" s="4"/>
      <c r="AR465" s="4"/>
      <c r="AS465" s="4"/>
      <c r="AT465" s="4"/>
      <c r="AU465" s="4"/>
      <c r="AV465" s="4"/>
      <c r="AX465" s="4"/>
    </row>
    <row r="466" spans="1:50" ht="12.75" customHeight="1" x14ac:dyDescent="0.2">
      <c r="A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N466" s="4"/>
      <c r="AO466" s="4"/>
      <c r="AP466" s="4"/>
      <c r="AQ466" s="4"/>
      <c r="AR466" s="4"/>
      <c r="AS466" s="4"/>
      <c r="AT466" s="4"/>
      <c r="AU466" s="4"/>
      <c r="AV466" s="4"/>
      <c r="AX466" s="4"/>
    </row>
    <row r="467" spans="1:50" ht="12.75" customHeight="1" x14ac:dyDescent="0.2">
      <c r="A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N467" s="4"/>
      <c r="AO467" s="4"/>
      <c r="AP467" s="4"/>
      <c r="AQ467" s="4"/>
      <c r="AR467" s="4"/>
      <c r="AS467" s="4"/>
      <c r="AT467" s="4"/>
      <c r="AU467" s="4"/>
      <c r="AV467" s="4"/>
      <c r="AX467" s="4"/>
    </row>
    <row r="468" spans="1:50" ht="12.75" customHeight="1" x14ac:dyDescent="0.2">
      <c r="A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N468" s="4"/>
      <c r="AO468" s="4"/>
      <c r="AP468" s="4"/>
      <c r="AQ468" s="4"/>
      <c r="AR468" s="4"/>
      <c r="AS468" s="4"/>
      <c r="AT468" s="4"/>
      <c r="AU468" s="4"/>
      <c r="AV468" s="4"/>
      <c r="AX468" s="4"/>
    </row>
    <row r="469" spans="1:50" ht="12.75" customHeight="1" x14ac:dyDescent="0.2">
      <c r="A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N469" s="4"/>
      <c r="AO469" s="4"/>
      <c r="AP469" s="4"/>
      <c r="AQ469" s="4"/>
      <c r="AR469" s="4"/>
      <c r="AS469" s="4"/>
      <c r="AT469" s="4"/>
      <c r="AU469" s="4"/>
      <c r="AV469" s="4"/>
      <c r="AX469" s="4"/>
    </row>
    <row r="470" spans="1:50" ht="12.75" customHeight="1" x14ac:dyDescent="0.2">
      <c r="A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N470" s="4"/>
      <c r="AO470" s="4"/>
      <c r="AP470" s="4"/>
      <c r="AQ470" s="4"/>
      <c r="AR470" s="4"/>
      <c r="AS470" s="4"/>
      <c r="AT470" s="4"/>
      <c r="AU470" s="4"/>
      <c r="AV470" s="4"/>
      <c r="AX470" s="4"/>
    </row>
    <row r="471" spans="1:50" ht="12.75" customHeight="1" x14ac:dyDescent="0.2">
      <c r="A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N471" s="4"/>
      <c r="AO471" s="4"/>
      <c r="AP471" s="4"/>
      <c r="AQ471" s="4"/>
      <c r="AR471" s="4"/>
      <c r="AS471" s="4"/>
      <c r="AT471" s="4"/>
      <c r="AU471" s="4"/>
      <c r="AV471" s="4"/>
      <c r="AX471" s="4"/>
    </row>
    <row r="472" spans="1:50" ht="12.75" customHeight="1" x14ac:dyDescent="0.2">
      <c r="A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N472" s="4"/>
      <c r="AO472" s="4"/>
      <c r="AP472" s="4"/>
      <c r="AQ472" s="4"/>
      <c r="AR472" s="4"/>
      <c r="AS472" s="4"/>
      <c r="AT472" s="4"/>
      <c r="AU472" s="4"/>
      <c r="AV472" s="4"/>
      <c r="AX472" s="4"/>
    </row>
    <row r="473" spans="1:50" ht="12.75" customHeight="1" x14ac:dyDescent="0.2">
      <c r="A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N473" s="4"/>
      <c r="AO473" s="4"/>
      <c r="AP473" s="4"/>
      <c r="AQ473" s="4"/>
      <c r="AR473" s="4"/>
      <c r="AS473" s="4"/>
      <c r="AT473" s="4"/>
      <c r="AU473" s="4"/>
      <c r="AV473" s="4"/>
      <c r="AX473" s="4"/>
    </row>
    <row r="474" spans="1:50" ht="12.75" customHeight="1" x14ac:dyDescent="0.2">
      <c r="A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N474" s="4"/>
      <c r="AO474" s="4"/>
      <c r="AP474" s="4"/>
      <c r="AQ474" s="4"/>
      <c r="AR474" s="4"/>
      <c r="AS474" s="4"/>
      <c r="AT474" s="4"/>
      <c r="AU474" s="4"/>
      <c r="AV474" s="4"/>
      <c r="AX474" s="4"/>
    </row>
    <row r="475" spans="1:50" ht="12.75" customHeight="1" x14ac:dyDescent="0.2">
      <c r="A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N475" s="4"/>
      <c r="AO475" s="4"/>
      <c r="AP475" s="4"/>
      <c r="AQ475" s="4"/>
      <c r="AR475" s="4"/>
      <c r="AS475" s="4"/>
      <c r="AT475" s="4"/>
      <c r="AU475" s="4"/>
      <c r="AV475" s="4"/>
      <c r="AX475" s="4"/>
    </row>
    <row r="476" spans="1:50" ht="12.75" customHeight="1" x14ac:dyDescent="0.2">
      <c r="A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N476" s="4"/>
      <c r="AO476" s="4"/>
      <c r="AP476" s="4"/>
      <c r="AQ476" s="4"/>
      <c r="AR476" s="4"/>
      <c r="AS476" s="4"/>
      <c r="AT476" s="4"/>
      <c r="AU476" s="4"/>
      <c r="AV476" s="4"/>
      <c r="AX476" s="4"/>
    </row>
    <row r="477" spans="1:50" ht="12.75" customHeight="1" x14ac:dyDescent="0.2">
      <c r="A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N477" s="4"/>
      <c r="AO477" s="4"/>
      <c r="AP477" s="4"/>
      <c r="AQ477" s="4"/>
      <c r="AR477" s="4"/>
      <c r="AS477" s="4"/>
      <c r="AT477" s="4"/>
      <c r="AU477" s="4"/>
      <c r="AV477" s="4"/>
      <c r="AX477" s="4"/>
    </row>
    <row r="478" spans="1:50" ht="12.75" customHeight="1" x14ac:dyDescent="0.2">
      <c r="A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N478" s="4"/>
      <c r="AO478" s="4"/>
      <c r="AP478" s="4"/>
      <c r="AQ478" s="4"/>
      <c r="AR478" s="4"/>
      <c r="AS478" s="4"/>
      <c r="AT478" s="4"/>
      <c r="AU478" s="4"/>
      <c r="AV478" s="4"/>
      <c r="AX478" s="4"/>
    </row>
    <row r="479" spans="1:50" ht="12.75" customHeight="1" x14ac:dyDescent="0.2">
      <c r="A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N479" s="4"/>
      <c r="AO479" s="4"/>
      <c r="AP479" s="4"/>
      <c r="AQ479" s="4"/>
      <c r="AR479" s="4"/>
      <c r="AS479" s="4"/>
      <c r="AT479" s="4"/>
      <c r="AU479" s="4"/>
      <c r="AV479" s="4"/>
      <c r="AX479" s="4"/>
    </row>
    <row r="480" spans="1:50" ht="12.75" customHeight="1" x14ac:dyDescent="0.2">
      <c r="A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N480" s="4"/>
      <c r="AO480" s="4"/>
      <c r="AP480" s="4"/>
      <c r="AQ480" s="4"/>
      <c r="AR480" s="4"/>
      <c r="AS480" s="4"/>
      <c r="AT480" s="4"/>
      <c r="AU480" s="4"/>
      <c r="AV480" s="4"/>
      <c r="AX480" s="4"/>
    </row>
    <row r="481" spans="1:50" ht="12.75" customHeight="1" x14ac:dyDescent="0.2">
      <c r="A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N481" s="4"/>
      <c r="AO481" s="4"/>
      <c r="AP481" s="4"/>
      <c r="AQ481" s="4"/>
      <c r="AR481" s="4"/>
      <c r="AS481" s="4"/>
      <c r="AT481" s="4"/>
      <c r="AU481" s="4"/>
      <c r="AV481" s="4"/>
      <c r="AX481" s="4"/>
    </row>
    <row r="482" spans="1:50" ht="12.75" customHeight="1" x14ac:dyDescent="0.2">
      <c r="A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N482" s="4"/>
      <c r="AO482" s="4"/>
      <c r="AP482" s="4"/>
      <c r="AQ482" s="4"/>
      <c r="AR482" s="4"/>
      <c r="AS482" s="4"/>
      <c r="AT482" s="4"/>
      <c r="AU482" s="4"/>
      <c r="AV482" s="4"/>
      <c r="AX482" s="4"/>
    </row>
    <row r="483" spans="1:50" ht="12.75" customHeight="1" x14ac:dyDescent="0.2">
      <c r="A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N483" s="4"/>
      <c r="AO483" s="4"/>
      <c r="AP483" s="4"/>
      <c r="AQ483" s="4"/>
      <c r="AR483" s="4"/>
      <c r="AS483" s="4"/>
      <c r="AT483" s="4"/>
      <c r="AU483" s="4"/>
      <c r="AV483" s="4"/>
      <c r="AX483" s="4"/>
    </row>
    <row r="484" spans="1:50" ht="12.75" customHeight="1" x14ac:dyDescent="0.2">
      <c r="A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N484" s="4"/>
      <c r="AO484" s="4"/>
      <c r="AP484" s="4"/>
      <c r="AQ484" s="4"/>
      <c r="AR484" s="4"/>
      <c r="AS484" s="4"/>
      <c r="AT484" s="4"/>
      <c r="AU484" s="4"/>
      <c r="AV484" s="4"/>
      <c r="AX484" s="4"/>
    </row>
    <row r="485" spans="1:50" ht="12.75" customHeight="1" x14ac:dyDescent="0.2">
      <c r="A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N485" s="4"/>
      <c r="AO485" s="4"/>
      <c r="AP485" s="4"/>
      <c r="AQ485" s="4"/>
      <c r="AR485" s="4"/>
      <c r="AS485" s="4"/>
      <c r="AT485" s="4"/>
      <c r="AU485" s="4"/>
      <c r="AV485" s="4"/>
      <c r="AX485" s="4"/>
    </row>
    <row r="486" spans="1:50" ht="12.75" customHeight="1" x14ac:dyDescent="0.2">
      <c r="A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N486" s="4"/>
      <c r="AO486" s="4"/>
      <c r="AP486" s="4"/>
      <c r="AQ486" s="4"/>
      <c r="AR486" s="4"/>
      <c r="AS486" s="4"/>
      <c r="AT486" s="4"/>
      <c r="AU486" s="4"/>
      <c r="AV486" s="4"/>
      <c r="AX486" s="4"/>
    </row>
    <row r="487" spans="1:50" ht="12.75" customHeight="1" x14ac:dyDescent="0.2">
      <c r="A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N487" s="4"/>
      <c r="AO487" s="4"/>
      <c r="AP487" s="4"/>
      <c r="AQ487" s="4"/>
      <c r="AR487" s="4"/>
      <c r="AS487" s="4"/>
      <c r="AT487" s="4"/>
      <c r="AU487" s="4"/>
      <c r="AV487" s="4"/>
      <c r="AX487" s="4"/>
    </row>
    <row r="488" spans="1:50" ht="12.75" customHeight="1" x14ac:dyDescent="0.2">
      <c r="A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N488" s="4"/>
      <c r="AO488" s="4"/>
      <c r="AP488" s="4"/>
      <c r="AQ488" s="4"/>
      <c r="AR488" s="4"/>
      <c r="AS488" s="4"/>
      <c r="AT488" s="4"/>
      <c r="AU488" s="4"/>
      <c r="AV488" s="4"/>
      <c r="AX488" s="4"/>
    </row>
    <row r="489" spans="1:50" ht="12.75" customHeight="1" x14ac:dyDescent="0.2">
      <c r="A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N489" s="4"/>
      <c r="AO489" s="4"/>
      <c r="AP489" s="4"/>
      <c r="AQ489" s="4"/>
      <c r="AR489" s="4"/>
      <c r="AS489" s="4"/>
      <c r="AT489" s="4"/>
      <c r="AU489" s="4"/>
      <c r="AV489" s="4"/>
      <c r="AX489" s="4"/>
    </row>
    <row r="490" spans="1:50" ht="12.75" customHeight="1" x14ac:dyDescent="0.2">
      <c r="A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N490" s="4"/>
      <c r="AO490" s="4"/>
      <c r="AP490" s="4"/>
      <c r="AQ490" s="4"/>
      <c r="AR490" s="4"/>
      <c r="AS490" s="4"/>
      <c r="AT490" s="4"/>
      <c r="AU490" s="4"/>
      <c r="AV490" s="4"/>
      <c r="AX490" s="4"/>
    </row>
    <row r="491" spans="1:50" ht="12.75" customHeight="1" x14ac:dyDescent="0.2">
      <c r="A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N491" s="4"/>
      <c r="AO491" s="4"/>
      <c r="AP491" s="4"/>
      <c r="AQ491" s="4"/>
      <c r="AR491" s="4"/>
      <c r="AS491" s="4"/>
      <c r="AT491" s="4"/>
      <c r="AU491" s="4"/>
      <c r="AV491" s="4"/>
      <c r="AX491" s="4"/>
    </row>
    <row r="492" spans="1:50" ht="12.75" customHeight="1" x14ac:dyDescent="0.2">
      <c r="A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N492" s="4"/>
      <c r="AO492" s="4"/>
      <c r="AP492" s="4"/>
      <c r="AQ492" s="4"/>
      <c r="AR492" s="4"/>
      <c r="AS492" s="4"/>
      <c r="AT492" s="4"/>
      <c r="AU492" s="4"/>
      <c r="AV492" s="4"/>
      <c r="AX492" s="4"/>
    </row>
    <row r="493" spans="1:50" ht="12.75" customHeight="1" x14ac:dyDescent="0.2">
      <c r="A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N493" s="4"/>
      <c r="AO493" s="4"/>
      <c r="AP493" s="4"/>
      <c r="AQ493" s="4"/>
      <c r="AR493" s="4"/>
      <c r="AS493" s="4"/>
      <c r="AT493" s="4"/>
      <c r="AU493" s="4"/>
      <c r="AV493" s="4"/>
      <c r="AX493" s="4"/>
    </row>
    <row r="494" spans="1:50" ht="12.75" customHeight="1" x14ac:dyDescent="0.2">
      <c r="A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N494" s="4"/>
      <c r="AO494" s="4"/>
      <c r="AP494" s="4"/>
      <c r="AQ494" s="4"/>
      <c r="AR494" s="4"/>
      <c r="AS494" s="4"/>
      <c r="AT494" s="4"/>
      <c r="AU494" s="4"/>
      <c r="AV494" s="4"/>
      <c r="AX494" s="4"/>
    </row>
    <row r="495" spans="1:50" ht="12.75" customHeight="1" x14ac:dyDescent="0.2">
      <c r="A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N495" s="4"/>
      <c r="AO495" s="4"/>
      <c r="AP495" s="4"/>
      <c r="AQ495" s="4"/>
      <c r="AR495" s="4"/>
      <c r="AS495" s="4"/>
      <c r="AT495" s="4"/>
      <c r="AU495" s="4"/>
      <c r="AV495" s="4"/>
      <c r="AX495" s="4"/>
    </row>
    <row r="496" spans="1:50" ht="12.75" customHeight="1" x14ac:dyDescent="0.2">
      <c r="A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N496" s="4"/>
      <c r="AO496" s="4"/>
      <c r="AP496" s="4"/>
      <c r="AQ496" s="4"/>
      <c r="AR496" s="4"/>
      <c r="AS496" s="4"/>
      <c r="AT496" s="4"/>
      <c r="AU496" s="4"/>
      <c r="AV496" s="4"/>
      <c r="AX496" s="4"/>
    </row>
    <row r="497" spans="1:50" ht="12.75" customHeight="1" x14ac:dyDescent="0.2">
      <c r="A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N497" s="4"/>
      <c r="AO497" s="4"/>
      <c r="AP497" s="4"/>
      <c r="AQ497" s="4"/>
      <c r="AR497" s="4"/>
      <c r="AS497" s="4"/>
      <c r="AT497" s="4"/>
      <c r="AU497" s="4"/>
      <c r="AV497" s="4"/>
      <c r="AX497" s="4"/>
    </row>
    <row r="498" spans="1:50" ht="12.75" customHeight="1" x14ac:dyDescent="0.2">
      <c r="A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N498" s="4"/>
      <c r="AO498" s="4"/>
      <c r="AP498" s="4"/>
      <c r="AQ498" s="4"/>
      <c r="AR498" s="4"/>
      <c r="AS498" s="4"/>
      <c r="AT498" s="4"/>
      <c r="AU498" s="4"/>
      <c r="AV498" s="4"/>
      <c r="AX498" s="4"/>
    </row>
    <row r="499" spans="1:50" ht="12.75" customHeight="1" x14ac:dyDescent="0.2">
      <c r="A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N499" s="4"/>
      <c r="AO499" s="4"/>
      <c r="AP499" s="4"/>
      <c r="AQ499" s="4"/>
      <c r="AR499" s="4"/>
      <c r="AS499" s="4"/>
      <c r="AT499" s="4"/>
      <c r="AU499" s="4"/>
      <c r="AV499" s="4"/>
      <c r="AX499" s="4"/>
    </row>
    <row r="500" spans="1:50" ht="12.75" customHeight="1" x14ac:dyDescent="0.2">
      <c r="A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N500" s="4"/>
      <c r="AO500" s="4"/>
      <c r="AP500" s="4"/>
      <c r="AQ500" s="4"/>
      <c r="AR500" s="4"/>
      <c r="AS500" s="4"/>
      <c r="AT500" s="4"/>
      <c r="AU500" s="4"/>
      <c r="AV500" s="4"/>
      <c r="AX500" s="4"/>
    </row>
    <row r="501" spans="1:50" ht="12.75" customHeight="1" x14ac:dyDescent="0.2">
      <c r="A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N501" s="4"/>
      <c r="AO501" s="4"/>
      <c r="AP501" s="4"/>
      <c r="AQ501" s="4"/>
      <c r="AR501" s="4"/>
      <c r="AS501" s="4"/>
      <c r="AT501" s="4"/>
      <c r="AU501" s="4"/>
      <c r="AV501" s="4"/>
      <c r="AX501" s="4"/>
    </row>
    <row r="502" spans="1:50" ht="12.75" customHeight="1" x14ac:dyDescent="0.2">
      <c r="A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N502" s="4"/>
      <c r="AO502" s="4"/>
      <c r="AP502" s="4"/>
      <c r="AQ502" s="4"/>
      <c r="AR502" s="4"/>
      <c r="AS502" s="4"/>
      <c r="AT502" s="4"/>
      <c r="AU502" s="4"/>
      <c r="AV502" s="4"/>
      <c r="AX502" s="4"/>
    </row>
    <row r="503" spans="1:50" ht="12.75" customHeight="1" x14ac:dyDescent="0.2">
      <c r="A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N503" s="4"/>
      <c r="AO503" s="4"/>
      <c r="AP503" s="4"/>
      <c r="AQ503" s="4"/>
      <c r="AR503" s="4"/>
      <c r="AS503" s="4"/>
      <c r="AT503" s="4"/>
      <c r="AU503" s="4"/>
      <c r="AV503" s="4"/>
      <c r="AX503" s="4"/>
    </row>
    <row r="504" spans="1:50" ht="12.75" customHeight="1" x14ac:dyDescent="0.2">
      <c r="A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N504" s="4"/>
      <c r="AO504" s="4"/>
      <c r="AP504" s="4"/>
      <c r="AQ504" s="4"/>
      <c r="AR504" s="4"/>
      <c r="AS504" s="4"/>
      <c r="AT504" s="4"/>
      <c r="AU504" s="4"/>
      <c r="AV504" s="4"/>
      <c r="AX504" s="4"/>
    </row>
    <row r="505" spans="1:50" ht="12.75" customHeight="1" x14ac:dyDescent="0.2">
      <c r="A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N505" s="4"/>
      <c r="AO505" s="4"/>
      <c r="AP505" s="4"/>
      <c r="AQ505" s="4"/>
      <c r="AR505" s="4"/>
      <c r="AS505" s="4"/>
      <c r="AT505" s="4"/>
      <c r="AU505" s="4"/>
      <c r="AV505" s="4"/>
      <c r="AX505" s="4"/>
    </row>
    <row r="506" spans="1:50" ht="12.75" customHeight="1" x14ac:dyDescent="0.2">
      <c r="A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N506" s="4"/>
      <c r="AO506" s="4"/>
      <c r="AP506" s="4"/>
      <c r="AQ506" s="4"/>
      <c r="AR506" s="4"/>
      <c r="AS506" s="4"/>
      <c r="AT506" s="4"/>
      <c r="AU506" s="4"/>
      <c r="AV506" s="4"/>
      <c r="AX506" s="4"/>
    </row>
    <row r="507" spans="1:50" ht="12.75" customHeight="1" x14ac:dyDescent="0.2">
      <c r="A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N507" s="4"/>
      <c r="AO507" s="4"/>
      <c r="AP507" s="4"/>
      <c r="AQ507" s="4"/>
      <c r="AR507" s="4"/>
      <c r="AS507" s="4"/>
      <c r="AT507" s="4"/>
      <c r="AU507" s="4"/>
      <c r="AV507" s="4"/>
      <c r="AX507" s="4"/>
    </row>
    <row r="508" spans="1:50" ht="12.75" customHeight="1" x14ac:dyDescent="0.2">
      <c r="A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N508" s="4"/>
      <c r="AO508" s="4"/>
      <c r="AP508" s="4"/>
      <c r="AQ508" s="4"/>
      <c r="AR508" s="4"/>
      <c r="AS508" s="4"/>
      <c r="AT508" s="4"/>
      <c r="AU508" s="4"/>
      <c r="AV508" s="4"/>
      <c r="AX508" s="4"/>
    </row>
    <row r="509" spans="1:50" ht="12.75" customHeight="1" x14ac:dyDescent="0.2">
      <c r="A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N509" s="4"/>
      <c r="AO509" s="4"/>
      <c r="AP509" s="4"/>
      <c r="AQ509" s="4"/>
      <c r="AR509" s="4"/>
      <c r="AS509" s="4"/>
      <c r="AT509" s="4"/>
      <c r="AU509" s="4"/>
      <c r="AV509" s="4"/>
      <c r="AX509" s="4"/>
    </row>
    <row r="510" spans="1:50" ht="12.75" customHeight="1" x14ac:dyDescent="0.2">
      <c r="A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N510" s="4"/>
      <c r="AO510" s="4"/>
      <c r="AP510" s="4"/>
      <c r="AQ510" s="4"/>
      <c r="AR510" s="4"/>
      <c r="AS510" s="4"/>
      <c r="AT510" s="4"/>
      <c r="AU510" s="4"/>
      <c r="AV510" s="4"/>
      <c r="AX510" s="4"/>
    </row>
    <row r="511" spans="1:50" ht="12.75" customHeight="1" x14ac:dyDescent="0.2">
      <c r="A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N511" s="4"/>
      <c r="AO511" s="4"/>
      <c r="AP511" s="4"/>
      <c r="AQ511" s="4"/>
      <c r="AR511" s="4"/>
      <c r="AS511" s="4"/>
      <c r="AT511" s="4"/>
      <c r="AU511" s="4"/>
      <c r="AV511" s="4"/>
      <c r="AX511" s="4"/>
    </row>
    <row r="512" spans="1:50" ht="12.75" customHeight="1" x14ac:dyDescent="0.2">
      <c r="A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N512" s="4"/>
      <c r="AO512" s="4"/>
      <c r="AP512" s="4"/>
      <c r="AQ512" s="4"/>
      <c r="AR512" s="4"/>
      <c r="AS512" s="4"/>
      <c r="AT512" s="4"/>
      <c r="AU512" s="4"/>
      <c r="AV512" s="4"/>
      <c r="AX512" s="4"/>
    </row>
    <row r="513" spans="1:50" ht="12.75" customHeight="1" x14ac:dyDescent="0.2">
      <c r="A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N513" s="4"/>
      <c r="AO513" s="4"/>
      <c r="AP513" s="4"/>
      <c r="AQ513" s="4"/>
      <c r="AR513" s="4"/>
      <c r="AS513" s="4"/>
      <c r="AT513" s="4"/>
      <c r="AU513" s="4"/>
      <c r="AV513" s="4"/>
      <c r="AX513" s="4"/>
    </row>
    <row r="514" spans="1:50" ht="12.75" customHeight="1" x14ac:dyDescent="0.2">
      <c r="A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N514" s="4"/>
      <c r="AO514" s="4"/>
      <c r="AP514" s="4"/>
      <c r="AQ514" s="4"/>
      <c r="AR514" s="4"/>
      <c r="AS514" s="4"/>
      <c r="AT514" s="4"/>
      <c r="AU514" s="4"/>
      <c r="AV514" s="4"/>
      <c r="AX514" s="4"/>
    </row>
    <row r="515" spans="1:50" ht="12.75" customHeight="1" x14ac:dyDescent="0.2">
      <c r="A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N515" s="4"/>
      <c r="AO515" s="4"/>
      <c r="AP515" s="4"/>
      <c r="AQ515" s="4"/>
      <c r="AR515" s="4"/>
      <c r="AS515" s="4"/>
      <c r="AT515" s="4"/>
      <c r="AU515" s="4"/>
      <c r="AV515" s="4"/>
      <c r="AX515" s="4"/>
    </row>
    <row r="516" spans="1:50" ht="12.75" customHeight="1" x14ac:dyDescent="0.2">
      <c r="A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N516" s="4"/>
      <c r="AO516" s="4"/>
      <c r="AP516" s="4"/>
      <c r="AQ516" s="4"/>
      <c r="AR516" s="4"/>
      <c r="AS516" s="4"/>
      <c r="AT516" s="4"/>
      <c r="AU516" s="4"/>
      <c r="AV516" s="4"/>
      <c r="AX516" s="4"/>
    </row>
    <row r="517" spans="1:50" ht="12.75" customHeight="1" x14ac:dyDescent="0.2">
      <c r="A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N517" s="4"/>
      <c r="AO517" s="4"/>
      <c r="AP517" s="4"/>
      <c r="AQ517" s="4"/>
      <c r="AR517" s="4"/>
      <c r="AS517" s="4"/>
      <c r="AT517" s="4"/>
      <c r="AU517" s="4"/>
      <c r="AV517" s="4"/>
      <c r="AX517" s="4"/>
    </row>
    <row r="518" spans="1:50" ht="12.75" customHeight="1" x14ac:dyDescent="0.2">
      <c r="A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N518" s="4"/>
      <c r="AO518" s="4"/>
      <c r="AP518" s="4"/>
      <c r="AQ518" s="4"/>
      <c r="AR518" s="4"/>
      <c r="AS518" s="4"/>
      <c r="AT518" s="4"/>
      <c r="AU518" s="4"/>
      <c r="AV518" s="4"/>
      <c r="AX518" s="4"/>
    </row>
    <row r="519" spans="1:50" ht="12.75" customHeight="1" x14ac:dyDescent="0.2">
      <c r="A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N519" s="4"/>
      <c r="AO519" s="4"/>
      <c r="AP519" s="4"/>
      <c r="AQ519" s="4"/>
      <c r="AR519" s="4"/>
      <c r="AS519" s="4"/>
      <c r="AT519" s="4"/>
      <c r="AU519" s="4"/>
      <c r="AV519" s="4"/>
      <c r="AX519" s="4"/>
    </row>
    <row r="520" spans="1:50" ht="12.75" customHeight="1" x14ac:dyDescent="0.2">
      <c r="A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N520" s="4"/>
      <c r="AO520" s="4"/>
      <c r="AP520" s="4"/>
      <c r="AQ520" s="4"/>
      <c r="AR520" s="4"/>
      <c r="AS520" s="4"/>
      <c r="AT520" s="4"/>
      <c r="AU520" s="4"/>
      <c r="AV520" s="4"/>
      <c r="AX520" s="4"/>
    </row>
    <row r="521" spans="1:50" ht="12.75" customHeight="1" x14ac:dyDescent="0.2">
      <c r="A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N521" s="4"/>
      <c r="AO521" s="4"/>
      <c r="AP521" s="4"/>
      <c r="AQ521" s="4"/>
      <c r="AR521" s="4"/>
      <c r="AS521" s="4"/>
      <c r="AT521" s="4"/>
      <c r="AU521" s="4"/>
      <c r="AV521" s="4"/>
      <c r="AX521" s="4"/>
    </row>
    <row r="522" spans="1:50" ht="12.75" customHeight="1" x14ac:dyDescent="0.2">
      <c r="A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N522" s="4"/>
      <c r="AO522" s="4"/>
      <c r="AP522" s="4"/>
      <c r="AQ522" s="4"/>
      <c r="AR522" s="4"/>
      <c r="AS522" s="4"/>
      <c r="AT522" s="4"/>
      <c r="AU522" s="4"/>
      <c r="AV522" s="4"/>
      <c r="AX522" s="4"/>
    </row>
    <row r="523" spans="1:50" ht="12.75" customHeight="1" x14ac:dyDescent="0.2">
      <c r="A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N523" s="4"/>
      <c r="AO523" s="4"/>
      <c r="AP523" s="4"/>
      <c r="AQ523" s="4"/>
      <c r="AR523" s="4"/>
      <c r="AS523" s="4"/>
      <c r="AT523" s="4"/>
      <c r="AU523" s="4"/>
      <c r="AV523" s="4"/>
      <c r="AX523" s="4"/>
    </row>
    <row r="524" spans="1:50" ht="12.75" customHeight="1" x14ac:dyDescent="0.2">
      <c r="A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N524" s="4"/>
      <c r="AO524" s="4"/>
      <c r="AP524" s="4"/>
      <c r="AQ524" s="4"/>
      <c r="AR524" s="4"/>
      <c r="AS524" s="4"/>
      <c r="AT524" s="4"/>
      <c r="AU524" s="4"/>
      <c r="AV524" s="4"/>
      <c r="AX524" s="4"/>
    </row>
    <row r="525" spans="1:50" ht="12.75" customHeight="1" x14ac:dyDescent="0.2">
      <c r="A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N525" s="4"/>
      <c r="AO525" s="4"/>
      <c r="AP525" s="4"/>
      <c r="AQ525" s="4"/>
      <c r="AR525" s="4"/>
      <c r="AS525" s="4"/>
      <c r="AT525" s="4"/>
      <c r="AU525" s="4"/>
      <c r="AV525" s="4"/>
      <c r="AX525" s="4"/>
    </row>
    <row r="526" spans="1:50" ht="12.75" customHeight="1" x14ac:dyDescent="0.2">
      <c r="A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N526" s="4"/>
      <c r="AO526" s="4"/>
      <c r="AP526" s="4"/>
      <c r="AQ526" s="4"/>
      <c r="AR526" s="4"/>
      <c r="AS526" s="4"/>
      <c r="AT526" s="4"/>
      <c r="AU526" s="4"/>
      <c r="AV526" s="4"/>
      <c r="AX526" s="4"/>
    </row>
    <row r="527" spans="1:50" ht="12.75" customHeight="1" x14ac:dyDescent="0.2">
      <c r="A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N527" s="4"/>
      <c r="AO527" s="4"/>
      <c r="AP527" s="4"/>
      <c r="AQ527" s="4"/>
      <c r="AR527" s="4"/>
      <c r="AS527" s="4"/>
      <c r="AT527" s="4"/>
      <c r="AU527" s="4"/>
      <c r="AV527" s="4"/>
      <c r="AX527" s="4"/>
    </row>
    <row r="528" spans="1:50" ht="12.75" customHeight="1" x14ac:dyDescent="0.2">
      <c r="A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N528" s="4"/>
      <c r="AO528" s="4"/>
      <c r="AP528" s="4"/>
      <c r="AQ528" s="4"/>
      <c r="AR528" s="4"/>
      <c r="AS528" s="4"/>
      <c r="AT528" s="4"/>
      <c r="AU528" s="4"/>
      <c r="AV528" s="4"/>
      <c r="AX528" s="4"/>
    </row>
    <row r="529" spans="1:50" ht="12.75" customHeight="1" x14ac:dyDescent="0.2">
      <c r="A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N529" s="4"/>
      <c r="AO529" s="4"/>
      <c r="AP529" s="4"/>
      <c r="AQ529" s="4"/>
      <c r="AR529" s="4"/>
      <c r="AS529" s="4"/>
      <c r="AT529" s="4"/>
      <c r="AU529" s="4"/>
      <c r="AV529" s="4"/>
      <c r="AX529" s="4"/>
    </row>
    <row r="530" spans="1:50" ht="12.75" customHeight="1" x14ac:dyDescent="0.2">
      <c r="A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N530" s="4"/>
      <c r="AO530" s="4"/>
      <c r="AP530" s="4"/>
      <c r="AQ530" s="4"/>
      <c r="AR530" s="4"/>
      <c r="AS530" s="4"/>
      <c r="AT530" s="4"/>
      <c r="AU530" s="4"/>
      <c r="AV530" s="4"/>
      <c r="AX530" s="4"/>
    </row>
    <row r="531" spans="1:50" ht="12.75" customHeight="1" x14ac:dyDescent="0.2">
      <c r="A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N531" s="4"/>
      <c r="AO531" s="4"/>
      <c r="AP531" s="4"/>
      <c r="AQ531" s="4"/>
      <c r="AR531" s="4"/>
      <c r="AS531" s="4"/>
      <c r="AT531" s="4"/>
      <c r="AU531" s="4"/>
      <c r="AV531" s="4"/>
      <c r="AX531" s="4"/>
    </row>
    <row r="532" spans="1:50" ht="12.75" customHeight="1" x14ac:dyDescent="0.2">
      <c r="A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N532" s="4"/>
      <c r="AO532" s="4"/>
      <c r="AP532" s="4"/>
      <c r="AQ532" s="4"/>
      <c r="AR532" s="4"/>
      <c r="AS532" s="4"/>
      <c r="AT532" s="4"/>
      <c r="AU532" s="4"/>
      <c r="AV532" s="4"/>
      <c r="AX532" s="4"/>
    </row>
    <row r="533" spans="1:50" ht="12.75" customHeight="1" x14ac:dyDescent="0.2">
      <c r="A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N533" s="4"/>
      <c r="AO533" s="4"/>
      <c r="AP533" s="4"/>
      <c r="AQ533" s="4"/>
      <c r="AR533" s="4"/>
      <c r="AS533" s="4"/>
      <c r="AT533" s="4"/>
      <c r="AU533" s="4"/>
      <c r="AV533" s="4"/>
      <c r="AX533" s="4"/>
    </row>
    <row r="534" spans="1:50" ht="12.75" customHeight="1" x14ac:dyDescent="0.2">
      <c r="A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N534" s="4"/>
      <c r="AO534" s="4"/>
      <c r="AP534" s="4"/>
      <c r="AQ534" s="4"/>
      <c r="AR534" s="4"/>
      <c r="AS534" s="4"/>
      <c r="AT534" s="4"/>
      <c r="AU534" s="4"/>
      <c r="AV534" s="4"/>
      <c r="AX534" s="4"/>
    </row>
    <row r="535" spans="1:50" ht="12.75" customHeight="1" x14ac:dyDescent="0.2">
      <c r="A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N535" s="4"/>
      <c r="AO535" s="4"/>
      <c r="AP535" s="4"/>
      <c r="AQ535" s="4"/>
      <c r="AR535" s="4"/>
      <c r="AS535" s="4"/>
      <c r="AT535" s="4"/>
      <c r="AU535" s="4"/>
      <c r="AV535" s="4"/>
      <c r="AX535" s="4"/>
    </row>
    <row r="536" spans="1:50" ht="12.75" customHeight="1" x14ac:dyDescent="0.2">
      <c r="A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N536" s="4"/>
      <c r="AO536" s="4"/>
      <c r="AP536" s="4"/>
      <c r="AQ536" s="4"/>
      <c r="AR536" s="4"/>
      <c r="AS536" s="4"/>
      <c r="AT536" s="4"/>
      <c r="AU536" s="4"/>
      <c r="AV536" s="4"/>
      <c r="AX536" s="4"/>
    </row>
    <row r="537" spans="1:50" ht="12.75" customHeight="1" x14ac:dyDescent="0.2">
      <c r="A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N537" s="4"/>
      <c r="AO537" s="4"/>
      <c r="AP537" s="4"/>
      <c r="AQ537" s="4"/>
      <c r="AR537" s="4"/>
      <c r="AS537" s="4"/>
      <c r="AT537" s="4"/>
      <c r="AU537" s="4"/>
      <c r="AV537" s="4"/>
      <c r="AX537" s="4"/>
    </row>
    <row r="538" spans="1:50" ht="12.75" customHeight="1" x14ac:dyDescent="0.2">
      <c r="A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N538" s="4"/>
      <c r="AO538" s="4"/>
      <c r="AP538" s="4"/>
      <c r="AQ538" s="4"/>
      <c r="AR538" s="4"/>
      <c r="AS538" s="4"/>
      <c r="AT538" s="4"/>
      <c r="AU538" s="4"/>
      <c r="AV538" s="4"/>
      <c r="AX538" s="4"/>
    </row>
    <row r="539" spans="1:50" ht="12.75" customHeight="1" x14ac:dyDescent="0.2">
      <c r="A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N539" s="4"/>
      <c r="AO539" s="4"/>
      <c r="AP539" s="4"/>
      <c r="AQ539" s="4"/>
      <c r="AR539" s="4"/>
      <c r="AS539" s="4"/>
      <c r="AT539" s="4"/>
      <c r="AU539" s="4"/>
      <c r="AV539" s="4"/>
      <c r="AX539" s="4"/>
    </row>
    <row r="540" spans="1:50" ht="12.75" customHeight="1" x14ac:dyDescent="0.2">
      <c r="A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N540" s="4"/>
      <c r="AO540" s="4"/>
      <c r="AP540" s="4"/>
      <c r="AQ540" s="4"/>
      <c r="AR540" s="4"/>
      <c r="AS540" s="4"/>
      <c r="AT540" s="4"/>
      <c r="AU540" s="4"/>
      <c r="AV540" s="4"/>
      <c r="AX540" s="4"/>
    </row>
    <row r="541" spans="1:50" ht="12.75" customHeight="1" x14ac:dyDescent="0.2">
      <c r="A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N541" s="4"/>
      <c r="AO541" s="4"/>
      <c r="AP541" s="4"/>
      <c r="AQ541" s="4"/>
      <c r="AR541" s="4"/>
      <c r="AS541" s="4"/>
      <c r="AT541" s="4"/>
      <c r="AU541" s="4"/>
      <c r="AV541" s="4"/>
      <c r="AX541" s="4"/>
    </row>
    <row r="542" spans="1:50" ht="12.75" customHeight="1" x14ac:dyDescent="0.2">
      <c r="A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N542" s="4"/>
      <c r="AO542" s="4"/>
      <c r="AP542" s="4"/>
      <c r="AQ542" s="4"/>
      <c r="AR542" s="4"/>
      <c r="AS542" s="4"/>
      <c r="AT542" s="4"/>
      <c r="AU542" s="4"/>
      <c r="AV542" s="4"/>
      <c r="AX542" s="4"/>
    </row>
    <row r="543" spans="1:50" ht="12.75" customHeight="1" x14ac:dyDescent="0.2">
      <c r="A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N543" s="4"/>
      <c r="AO543" s="4"/>
      <c r="AP543" s="4"/>
      <c r="AQ543" s="4"/>
      <c r="AR543" s="4"/>
      <c r="AS543" s="4"/>
      <c r="AT543" s="4"/>
      <c r="AU543" s="4"/>
      <c r="AV543" s="4"/>
      <c r="AX543" s="4"/>
    </row>
    <row r="544" spans="1:50" ht="12.75" customHeight="1" x14ac:dyDescent="0.2">
      <c r="A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N544" s="4"/>
      <c r="AO544" s="4"/>
      <c r="AP544" s="4"/>
      <c r="AQ544" s="4"/>
      <c r="AR544" s="4"/>
      <c r="AS544" s="4"/>
      <c r="AT544" s="4"/>
      <c r="AU544" s="4"/>
      <c r="AV544" s="4"/>
      <c r="AX544" s="4"/>
    </row>
    <row r="545" spans="1:50" ht="12.75" customHeight="1" x14ac:dyDescent="0.2">
      <c r="A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N545" s="4"/>
      <c r="AO545" s="4"/>
      <c r="AP545" s="4"/>
      <c r="AQ545" s="4"/>
      <c r="AR545" s="4"/>
      <c r="AS545" s="4"/>
      <c r="AT545" s="4"/>
      <c r="AU545" s="4"/>
      <c r="AV545" s="4"/>
      <c r="AX545" s="4"/>
    </row>
    <row r="546" spans="1:50" ht="12.75" customHeight="1" x14ac:dyDescent="0.2">
      <c r="A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N546" s="4"/>
      <c r="AO546" s="4"/>
      <c r="AP546" s="4"/>
      <c r="AQ546" s="4"/>
      <c r="AR546" s="4"/>
      <c r="AS546" s="4"/>
      <c r="AT546" s="4"/>
      <c r="AU546" s="4"/>
      <c r="AV546" s="4"/>
      <c r="AX546" s="4"/>
    </row>
    <row r="547" spans="1:50" ht="12.75" customHeight="1" x14ac:dyDescent="0.2">
      <c r="A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N547" s="4"/>
      <c r="AO547" s="4"/>
      <c r="AP547" s="4"/>
      <c r="AQ547" s="4"/>
      <c r="AR547" s="4"/>
      <c r="AS547" s="4"/>
      <c r="AT547" s="4"/>
      <c r="AU547" s="4"/>
      <c r="AV547" s="4"/>
      <c r="AX547" s="4"/>
    </row>
    <row r="548" spans="1:50" ht="12.75" customHeight="1" x14ac:dyDescent="0.2">
      <c r="A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N548" s="4"/>
      <c r="AO548" s="4"/>
      <c r="AP548" s="4"/>
      <c r="AQ548" s="4"/>
      <c r="AR548" s="4"/>
      <c r="AS548" s="4"/>
      <c r="AT548" s="4"/>
      <c r="AU548" s="4"/>
      <c r="AV548" s="4"/>
      <c r="AX548" s="4"/>
    </row>
    <row r="549" spans="1:50" ht="12.75" customHeight="1" x14ac:dyDescent="0.2">
      <c r="A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N549" s="4"/>
      <c r="AO549" s="4"/>
      <c r="AP549" s="4"/>
      <c r="AQ549" s="4"/>
      <c r="AR549" s="4"/>
      <c r="AS549" s="4"/>
      <c r="AT549" s="4"/>
      <c r="AU549" s="4"/>
      <c r="AV549" s="4"/>
      <c r="AX549" s="4"/>
    </row>
    <row r="550" spans="1:50" ht="12.75" customHeight="1" x14ac:dyDescent="0.2">
      <c r="A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N550" s="4"/>
      <c r="AO550" s="4"/>
      <c r="AP550" s="4"/>
      <c r="AQ550" s="4"/>
      <c r="AR550" s="4"/>
      <c r="AS550" s="4"/>
      <c r="AT550" s="4"/>
      <c r="AU550" s="4"/>
      <c r="AV550" s="4"/>
      <c r="AX550" s="4"/>
    </row>
    <row r="551" spans="1:50" ht="12.75" customHeight="1" x14ac:dyDescent="0.2">
      <c r="A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N551" s="4"/>
      <c r="AO551" s="4"/>
      <c r="AP551" s="4"/>
      <c r="AQ551" s="4"/>
      <c r="AR551" s="4"/>
      <c r="AS551" s="4"/>
      <c r="AT551" s="4"/>
      <c r="AU551" s="4"/>
      <c r="AV551" s="4"/>
      <c r="AX551" s="4"/>
    </row>
    <row r="552" spans="1:50" ht="12.75" customHeight="1" x14ac:dyDescent="0.2">
      <c r="A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N552" s="4"/>
      <c r="AO552" s="4"/>
      <c r="AP552" s="4"/>
      <c r="AQ552" s="4"/>
      <c r="AR552" s="4"/>
      <c r="AS552" s="4"/>
      <c r="AT552" s="4"/>
      <c r="AU552" s="4"/>
      <c r="AV552" s="4"/>
      <c r="AX552" s="4"/>
    </row>
    <row r="553" spans="1:50" ht="12.75" customHeight="1" x14ac:dyDescent="0.2">
      <c r="A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N553" s="4"/>
      <c r="AO553" s="4"/>
      <c r="AP553" s="4"/>
      <c r="AQ553" s="4"/>
      <c r="AR553" s="4"/>
      <c r="AS553" s="4"/>
      <c r="AT553" s="4"/>
      <c r="AU553" s="4"/>
      <c r="AV553" s="4"/>
      <c r="AX553" s="4"/>
    </row>
    <row r="554" spans="1:50" ht="12.75" customHeight="1" x14ac:dyDescent="0.2">
      <c r="A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N554" s="4"/>
      <c r="AO554" s="4"/>
      <c r="AP554" s="4"/>
      <c r="AQ554" s="4"/>
      <c r="AR554" s="4"/>
      <c r="AS554" s="4"/>
      <c r="AT554" s="4"/>
      <c r="AU554" s="4"/>
      <c r="AV554" s="4"/>
      <c r="AX554" s="4"/>
    </row>
    <row r="555" spans="1:50" ht="12.75" customHeight="1" x14ac:dyDescent="0.2">
      <c r="A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N555" s="4"/>
      <c r="AO555" s="4"/>
      <c r="AP555" s="4"/>
      <c r="AQ555" s="4"/>
      <c r="AR555" s="4"/>
      <c r="AS555" s="4"/>
      <c r="AT555" s="4"/>
      <c r="AU555" s="4"/>
      <c r="AV555" s="4"/>
      <c r="AX555" s="4"/>
    </row>
    <row r="556" spans="1:50" ht="12.75" customHeight="1" x14ac:dyDescent="0.2">
      <c r="A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N556" s="4"/>
      <c r="AO556" s="4"/>
      <c r="AP556" s="4"/>
      <c r="AQ556" s="4"/>
      <c r="AR556" s="4"/>
      <c r="AS556" s="4"/>
      <c r="AT556" s="4"/>
      <c r="AU556" s="4"/>
      <c r="AV556" s="4"/>
      <c r="AX556" s="4"/>
    </row>
    <row r="557" spans="1:50" ht="12.75" customHeight="1" x14ac:dyDescent="0.2">
      <c r="A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N557" s="4"/>
      <c r="AO557" s="4"/>
      <c r="AP557" s="4"/>
      <c r="AQ557" s="4"/>
      <c r="AR557" s="4"/>
      <c r="AS557" s="4"/>
      <c r="AT557" s="4"/>
      <c r="AU557" s="4"/>
      <c r="AV557" s="4"/>
      <c r="AX557" s="4"/>
    </row>
    <row r="558" spans="1:50" ht="12.75" customHeight="1" x14ac:dyDescent="0.2">
      <c r="A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N558" s="4"/>
      <c r="AO558" s="4"/>
      <c r="AP558" s="4"/>
      <c r="AQ558" s="4"/>
      <c r="AR558" s="4"/>
      <c r="AS558" s="4"/>
      <c r="AT558" s="4"/>
      <c r="AU558" s="4"/>
      <c r="AV558" s="4"/>
      <c r="AX558" s="4"/>
    </row>
    <row r="559" spans="1:50" ht="12.75" customHeight="1" x14ac:dyDescent="0.2">
      <c r="A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N559" s="4"/>
      <c r="AO559" s="4"/>
      <c r="AP559" s="4"/>
      <c r="AQ559" s="4"/>
      <c r="AR559" s="4"/>
      <c r="AS559" s="4"/>
      <c r="AT559" s="4"/>
      <c r="AU559" s="4"/>
      <c r="AV559" s="4"/>
      <c r="AX559" s="4"/>
    </row>
    <row r="560" spans="1:50" ht="12.75" customHeight="1" x14ac:dyDescent="0.2">
      <c r="A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N560" s="4"/>
      <c r="AO560" s="4"/>
      <c r="AP560" s="4"/>
      <c r="AQ560" s="4"/>
      <c r="AR560" s="4"/>
      <c r="AS560" s="4"/>
      <c r="AT560" s="4"/>
      <c r="AU560" s="4"/>
      <c r="AV560" s="4"/>
      <c r="AX560" s="4"/>
    </row>
    <row r="561" spans="1:50" ht="12.75" customHeight="1" x14ac:dyDescent="0.2">
      <c r="A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N561" s="4"/>
      <c r="AO561" s="4"/>
      <c r="AP561" s="4"/>
      <c r="AQ561" s="4"/>
      <c r="AR561" s="4"/>
      <c r="AS561" s="4"/>
      <c r="AT561" s="4"/>
      <c r="AU561" s="4"/>
      <c r="AV561" s="4"/>
      <c r="AX561" s="4"/>
    </row>
    <row r="562" spans="1:50" ht="12.75" customHeight="1" x14ac:dyDescent="0.2">
      <c r="A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N562" s="4"/>
      <c r="AO562" s="4"/>
      <c r="AP562" s="4"/>
      <c r="AQ562" s="4"/>
      <c r="AR562" s="4"/>
      <c r="AS562" s="4"/>
      <c r="AT562" s="4"/>
      <c r="AU562" s="4"/>
      <c r="AV562" s="4"/>
      <c r="AX562" s="4"/>
    </row>
    <row r="563" spans="1:50" ht="12.75" customHeight="1" x14ac:dyDescent="0.2">
      <c r="A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N563" s="4"/>
      <c r="AO563" s="4"/>
      <c r="AP563" s="4"/>
      <c r="AQ563" s="4"/>
      <c r="AR563" s="4"/>
      <c r="AS563" s="4"/>
      <c r="AT563" s="4"/>
      <c r="AU563" s="4"/>
      <c r="AV563" s="4"/>
      <c r="AX563" s="4"/>
    </row>
    <row r="564" spans="1:50" ht="12.75" customHeight="1" x14ac:dyDescent="0.2">
      <c r="A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N564" s="4"/>
      <c r="AO564" s="4"/>
      <c r="AP564" s="4"/>
      <c r="AQ564" s="4"/>
      <c r="AR564" s="4"/>
      <c r="AS564" s="4"/>
      <c r="AT564" s="4"/>
      <c r="AU564" s="4"/>
      <c r="AV564" s="4"/>
      <c r="AX564" s="4"/>
    </row>
    <row r="565" spans="1:50" ht="12.75" customHeight="1" x14ac:dyDescent="0.2">
      <c r="A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N565" s="4"/>
      <c r="AO565" s="4"/>
      <c r="AP565" s="4"/>
      <c r="AQ565" s="4"/>
      <c r="AR565" s="4"/>
      <c r="AS565" s="4"/>
      <c r="AT565" s="4"/>
      <c r="AU565" s="4"/>
      <c r="AV565" s="4"/>
      <c r="AX565" s="4"/>
    </row>
    <row r="566" spans="1:50" ht="12.75" customHeight="1" x14ac:dyDescent="0.2">
      <c r="A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N566" s="4"/>
      <c r="AO566" s="4"/>
      <c r="AP566" s="4"/>
      <c r="AQ566" s="4"/>
      <c r="AR566" s="4"/>
      <c r="AS566" s="4"/>
      <c r="AT566" s="4"/>
      <c r="AU566" s="4"/>
      <c r="AV566" s="4"/>
      <c r="AX566" s="4"/>
    </row>
    <row r="567" spans="1:50" ht="12.75" customHeight="1" x14ac:dyDescent="0.2">
      <c r="A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N567" s="4"/>
      <c r="AO567" s="4"/>
      <c r="AP567" s="4"/>
      <c r="AQ567" s="4"/>
      <c r="AR567" s="4"/>
      <c r="AS567" s="4"/>
      <c r="AT567" s="4"/>
      <c r="AU567" s="4"/>
      <c r="AV567" s="4"/>
      <c r="AX567" s="4"/>
    </row>
    <row r="568" spans="1:50" ht="12.75" customHeight="1" x14ac:dyDescent="0.2">
      <c r="A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N568" s="4"/>
      <c r="AO568" s="4"/>
      <c r="AP568" s="4"/>
      <c r="AQ568" s="4"/>
      <c r="AR568" s="4"/>
      <c r="AS568" s="4"/>
      <c r="AT568" s="4"/>
      <c r="AU568" s="4"/>
      <c r="AV568" s="4"/>
      <c r="AX568" s="4"/>
    </row>
    <row r="569" spans="1:50" ht="12.75" customHeight="1" x14ac:dyDescent="0.2">
      <c r="A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N569" s="4"/>
      <c r="AO569" s="4"/>
      <c r="AP569" s="4"/>
      <c r="AQ569" s="4"/>
      <c r="AR569" s="4"/>
      <c r="AS569" s="4"/>
      <c r="AT569" s="4"/>
      <c r="AU569" s="4"/>
      <c r="AV569" s="4"/>
      <c r="AX569" s="4"/>
    </row>
    <row r="570" spans="1:50" ht="12.75" customHeight="1" x14ac:dyDescent="0.2">
      <c r="A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N570" s="4"/>
      <c r="AO570" s="4"/>
      <c r="AP570" s="4"/>
      <c r="AQ570" s="4"/>
      <c r="AR570" s="4"/>
      <c r="AS570" s="4"/>
      <c r="AT570" s="4"/>
      <c r="AU570" s="4"/>
      <c r="AV570" s="4"/>
      <c r="AX570" s="4"/>
    </row>
    <row r="571" spans="1:50" ht="12.75" customHeight="1" x14ac:dyDescent="0.2">
      <c r="A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N571" s="4"/>
      <c r="AO571" s="4"/>
      <c r="AP571" s="4"/>
      <c r="AQ571" s="4"/>
      <c r="AR571" s="4"/>
      <c r="AS571" s="4"/>
      <c r="AT571" s="4"/>
      <c r="AU571" s="4"/>
      <c r="AV571" s="4"/>
      <c r="AX571" s="4"/>
    </row>
    <row r="572" spans="1:50" ht="12.75" customHeight="1" x14ac:dyDescent="0.2">
      <c r="A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N572" s="4"/>
      <c r="AO572" s="4"/>
      <c r="AP572" s="4"/>
      <c r="AQ572" s="4"/>
      <c r="AR572" s="4"/>
      <c r="AS572" s="4"/>
      <c r="AT572" s="4"/>
      <c r="AU572" s="4"/>
      <c r="AV572" s="4"/>
      <c r="AX572" s="4"/>
    </row>
    <row r="573" spans="1:50" ht="12.75" customHeight="1" x14ac:dyDescent="0.2">
      <c r="A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N573" s="4"/>
      <c r="AO573" s="4"/>
      <c r="AP573" s="4"/>
      <c r="AQ573" s="4"/>
      <c r="AR573" s="4"/>
      <c r="AS573" s="4"/>
      <c r="AT573" s="4"/>
      <c r="AU573" s="4"/>
      <c r="AV573" s="4"/>
      <c r="AX573" s="4"/>
    </row>
    <row r="574" spans="1:50" ht="12.75" customHeight="1" x14ac:dyDescent="0.2">
      <c r="A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N574" s="4"/>
      <c r="AO574" s="4"/>
      <c r="AP574" s="4"/>
      <c r="AQ574" s="4"/>
      <c r="AR574" s="4"/>
      <c r="AS574" s="4"/>
      <c r="AT574" s="4"/>
      <c r="AU574" s="4"/>
      <c r="AV574" s="4"/>
      <c r="AX574" s="4"/>
    </row>
    <row r="575" spans="1:50" ht="12.75" customHeight="1" x14ac:dyDescent="0.2">
      <c r="A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N575" s="4"/>
      <c r="AO575" s="4"/>
      <c r="AP575" s="4"/>
      <c r="AQ575" s="4"/>
      <c r="AR575" s="4"/>
      <c r="AS575" s="4"/>
      <c r="AT575" s="4"/>
      <c r="AU575" s="4"/>
      <c r="AV575" s="4"/>
      <c r="AX575" s="4"/>
    </row>
    <row r="576" spans="1:50" ht="12.75" customHeight="1" x14ac:dyDescent="0.2">
      <c r="A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N576" s="4"/>
      <c r="AO576" s="4"/>
      <c r="AP576" s="4"/>
      <c r="AQ576" s="4"/>
      <c r="AR576" s="4"/>
      <c r="AS576" s="4"/>
      <c r="AT576" s="4"/>
      <c r="AU576" s="4"/>
      <c r="AV576" s="4"/>
      <c r="AX576" s="4"/>
    </row>
    <row r="577" spans="1:50" ht="12.75" customHeight="1" x14ac:dyDescent="0.2">
      <c r="A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N577" s="4"/>
      <c r="AO577" s="4"/>
      <c r="AP577" s="4"/>
      <c r="AQ577" s="4"/>
      <c r="AR577" s="4"/>
      <c r="AS577" s="4"/>
      <c r="AT577" s="4"/>
      <c r="AU577" s="4"/>
      <c r="AV577" s="4"/>
      <c r="AX577" s="4"/>
    </row>
    <row r="578" spans="1:50" ht="12.75" customHeight="1" x14ac:dyDescent="0.2">
      <c r="A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N578" s="4"/>
      <c r="AO578" s="4"/>
      <c r="AP578" s="4"/>
      <c r="AQ578" s="4"/>
      <c r="AR578" s="4"/>
      <c r="AS578" s="4"/>
      <c r="AT578" s="4"/>
      <c r="AU578" s="4"/>
      <c r="AV578" s="4"/>
      <c r="AX578" s="4"/>
    </row>
    <row r="579" spans="1:50" ht="12.75" customHeight="1" x14ac:dyDescent="0.2">
      <c r="A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N579" s="4"/>
      <c r="AO579" s="4"/>
      <c r="AP579" s="4"/>
      <c r="AQ579" s="4"/>
      <c r="AR579" s="4"/>
      <c r="AS579" s="4"/>
      <c r="AT579" s="4"/>
      <c r="AU579" s="4"/>
      <c r="AV579" s="4"/>
      <c r="AX579" s="4"/>
    </row>
    <row r="580" spans="1:50" ht="12.75" customHeight="1" x14ac:dyDescent="0.2">
      <c r="A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N580" s="4"/>
      <c r="AO580" s="4"/>
      <c r="AP580" s="4"/>
      <c r="AQ580" s="4"/>
      <c r="AR580" s="4"/>
      <c r="AS580" s="4"/>
      <c r="AT580" s="4"/>
      <c r="AU580" s="4"/>
      <c r="AV580" s="4"/>
      <c r="AX580" s="4"/>
    </row>
    <row r="581" spans="1:50" ht="12.75" customHeight="1" x14ac:dyDescent="0.2">
      <c r="A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N581" s="4"/>
      <c r="AO581" s="4"/>
      <c r="AP581" s="4"/>
      <c r="AQ581" s="4"/>
      <c r="AR581" s="4"/>
      <c r="AS581" s="4"/>
      <c r="AT581" s="4"/>
      <c r="AU581" s="4"/>
      <c r="AV581" s="4"/>
      <c r="AX581" s="4"/>
    </row>
    <row r="582" spans="1:50" ht="12.75" customHeight="1" x14ac:dyDescent="0.2">
      <c r="A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N582" s="4"/>
      <c r="AO582" s="4"/>
      <c r="AP582" s="4"/>
      <c r="AQ582" s="4"/>
      <c r="AR582" s="4"/>
      <c r="AS582" s="4"/>
      <c r="AT582" s="4"/>
      <c r="AU582" s="4"/>
      <c r="AV582" s="4"/>
      <c r="AX582" s="4"/>
    </row>
    <row r="583" spans="1:50" ht="12.75" customHeight="1" x14ac:dyDescent="0.2">
      <c r="A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N583" s="4"/>
      <c r="AO583" s="4"/>
      <c r="AP583" s="4"/>
      <c r="AQ583" s="4"/>
      <c r="AR583" s="4"/>
      <c r="AS583" s="4"/>
      <c r="AT583" s="4"/>
      <c r="AU583" s="4"/>
      <c r="AV583" s="4"/>
      <c r="AX583" s="4"/>
    </row>
    <row r="584" spans="1:50" ht="12.75" customHeight="1" x14ac:dyDescent="0.2">
      <c r="A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N584" s="4"/>
      <c r="AO584" s="4"/>
      <c r="AP584" s="4"/>
      <c r="AQ584" s="4"/>
      <c r="AR584" s="4"/>
      <c r="AS584" s="4"/>
      <c r="AT584" s="4"/>
      <c r="AU584" s="4"/>
      <c r="AV584" s="4"/>
      <c r="AX584" s="4"/>
    </row>
    <row r="585" spans="1:50" ht="12.75" customHeight="1" x14ac:dyDescent="0.2">
      <c r="A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N585" s="4"/>
      <c r="AO585" s="4"/>
      <c r="AP585" s="4"/>
      <c r="AQ585" s="4"/>
      <c r="AR585" s="4"/>
      <c r="AS585" s="4"/>
      <c r="AT585" s="4"/>
      <c r="AU585" s="4"/>
      <c r="AV585" s="4"/>
      <c r="AX585" s="4"/>
    </row>
    <row r="586" spans="1:50" ht="12.75" customHeight="1" x14ac:dyDescent="0.2">
      <c r="A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N586" s="4"/>
      <c r="AO586" s="4"/>
      <c r="AP586" s="4"/>
      <c r="AQ586" s="4"/>
      <c r="AR586" s="4"/>
      <c r="AS586" s="4"/>
      <c r="AT586" s="4"/>
      <c r="AU586" s="4"/>
      <c r="AV586" s="4"/>
      <c r="AX586" s="4"/>
    </row>
    <row r="587" spans="1:50" ht="12.75" customHeight="1" x14ac:dyDescent="0.2">
      <c r="A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N587" s="4"/>
      <c r="AO587" s="4"/>
      <c r="AP587" s="4"/>
      <c r="AQ587" s="4"/>
      <c r="AR587" s="4"/>
      <c r="AS587" s="4"/>
      <c r="AT587" s="4"/>
      <c r="AU587" s="4"/>
      <c r="AV587" s="4"/>
      <c r="AX587" s="4"/>
    </row>
    <row r="588" spans="1:50" ht="12.75" customHeight="1" x14ac:dyDescent="0.2">
      <c r="A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N588" s="4"/>
      <c r="AO588" s="4"/>
      <c r="AP588" s="4"/>
      <c r="AQ588" s="4"/>
      <c r="AR588" s="4"/>
      <c r="AS588" s="4"/>
      <c r="AT588" s="4"/>
      <c r="AU588" s="4"/>
      <c r="AV588" s="4"/>
      <c r="AX588" s="4"/>
    </row>
    <row r="589" spans="1:50" ht="12.75" customHeight="1" x14ac:dyDescent="0.2">
      <c r="A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N589" s="4"/>
      <c r="AO589" s="4"/>
      <c r="AP589" s="4"/>
      <c r="AQ589" s="4"/>
      <c r="AR589" s="4"/>
      <c r="AS589" s="4"/>
      <c r="AT589" s="4"/>
      <c r="AU589" s="4"/>
      <c r="AV589" s="4"/>
      <c r="AX589" s="4"/>
    </row>
    <row r="590" spans="1:50" ht="12.75" customHeight="1" x14ac:dyDescent="0.2">
      <c r="A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N590" s="4"/>
      <c r="AO590" s="4"/>
      <c r="AP590" s="4"/>
      <c r="AQ590" s="4"/>
      <c r="AR590" s="4"/>
      <c r="AS590" s="4"/>
      <c r="AT590" s="4"/>
      <c r="AU590" s="4"/>
      <c r="AV590" s="4"/>
      <c r="AX590" s="4"/>
    </row>
    <row r="591" spans="1:50" ht="12.75" customHeight="1" x14ac:dyDescent="0.2">
      <c r="A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N591" s="4"/>
      <c r="AO591" s="4"/>
      <c r="AP591" s="4"/>
      <c r="AQ591" s="4"/>
      <c r="AR591" s="4"/>
      <c r="AS591" s="4"/>
      <c r="AT591" s="4"/>
      <c r="AU591" s="4"/>
      <c r="AV591" s="4"/>
      <c r="AX591" s="4"/>
    </row>
    <row r="592" spans="1:50" ht="12.75" customHeight="1" x14ac:dyDescent="0.2">
      <c r="A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N592" s="4"/>
      <c r="AO592" s="4"/>
      <c r="AP592" s="4"/>
      <c r="AQ592" s="4"/>
      <c r="AR592" s="4"/>
      <c r="AS592" s="4"/>
      <c r="AT592" s="4"/>
      <c r="AU592" s="4"/>
      <c r="AV592" s="4"/>
      <c r="AX592" s="4"/>
    </row>
    <row r="593" spans="1:50" ht="12.75" customHeight="1" x14ac:dyDescent="0.2">
      <c r="A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N593" s="4"/>
      <c r="AO593" s="4"/>
      <c r="AP593" s="4"/>
      <c r="AQ593" s="4"/>
      <c r="AR593" s="4"/>
      <c r="AS593" s="4"/>
      <c r="AT593" s="4"/>
      <c r="AU593" s="4"/>
      <c r="AV593" s="4"/>
      <c r="AX593" s="4"/>
    </row>
    <row r="594" spans="1:50" ht="12.75" customHeight="1" x14ac:dyDescent="0.2">
      <c r="A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N594" s="4"/>
      <c r="AO594" s="4"/>
      <c r="AP594" s="4"/>
      <c r="AQ594" s="4"/>
      <c r="AR594" s="4"/>
      <c r="AS594" s="4"/>
      <c r="AT594" s="4"/>
      <c r="AU594" s="4"/>
      <c r="AV594" s="4"/>
      <c r="AX594" s="4"/>
    </row>
    <row r="595" spans="1:50" ht="12.75" customHeight="1" x14ac:dyDescent="0.2">
      <c r="A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N595" s="4"/>
      <c r="AO595" s="4"/>
      <c r="AP595" s="4"/>
      <c r="AQ595" s="4"/>
      <c r="AR595" s="4"/>
      <c r="AS595" s="4"/>
      <c r="AT595" s="4"/>
      <c r="AU595" s="4"/>
      <c r="AV595" s="4"/>
      <c r="AX595" s="4"/>
    </row>
    <row r="596" spans="1:50" ht="12.75" customHeight="1" x14ac:dyDescent="0.2">
      <c r="A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N596" s="4"/>
      <c r="AO596" s="4"/>
      <c r="AP596" s="4"/>
      <c r="AQ596" s="4"/>
      <c r="AR596" s="4"/>
      <c r="AS596" s="4"/>
      <c r="AT596" s="4"/>
      <c r="AU596" s="4"/>
      <c r="AV596" s="4"/>
      <c r="AX596" s="4"/>
    </row>
    <row r="597" spans="1:50" ht="12.75" customHeight="1" x14ac:dyDescent="0.2">
      <c r="A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N597" s="4"/>
      <c r="AO597" s="4"/>
      <c r="AP597" s="4"/>
      <c r="AQ597" s="4"/>
      <c r="AR597" s="4"/>
      <c r="AS597" s="4"/>
      <c r="AT597" s="4"/>
      <c r="AU597" s="4"/>
      <c r="AV597" s="4"/>
      <c r="AX597" s="4"/>
    </row>
    <row r="598" spans="1:50" ht="12.75" customHeight="1" x14ac:dyDescent="0.2">
      <c r="A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N598" s="4"/>
      <c r="AO598" s="4"/>
      <c r="AP598" s="4"/>
      <c r="AQ598" s="4"/>
      <c r="AR598" s="4"/>
      <c r="AS598" s="4"/>
      <c r="AT598" s="4"/>
      <c r="AU598" s="4"/>
      <c r="AV598" s="4"/>
      <c r="AX598" s="4"/>
    </row>
    <row r="599" spans="1:50" ht="12.75" customHeight="1" x14ac:dyDescent="0.2">
      <c r="A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N599" s="4"/>
      <c r="AO599" s="4"/>
      <c r="AP599" s="4"/>
      <c r="AQ599" s="4"/>
      <c r="AR599" s="4"/>
      <c r="AS599" s="4"/>
      <c r="AT599" s="4"/>
      <c r="AU599" s="4"/>
      <c r="AV599" s="4"/>
      <c r="AX599" s="4"/>
    </row>
    <row r="600" spans="1:50" ht="12.75" customHeight="1" x14ac:dyDescent="0.2">
      <c r="A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N600" s="4"/>
      <c r="AO600" s="4"/>
      <c r="AP600" s="4"/>
      <c r="AQ600" s="4"/>
      <c r="AR600" s="4"/>
      <c r="AS600" s="4"/>
      <c r="AT600" s="4"/>
      <c r="AU600" s="4"/>
      <c r="AV600" s="4"/>
      <c r="AX600" s="4"/>
    </row>
    <row r="601" spans="1:50" ht="12.75" customHeight="1" x14ac:dyDescent="0.2">
      <c r="A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N601" s="4"/>
      <c r="AO601" s="4"/>
      <c r="AP601" s="4"/>
      <c r="AQ601" s="4"/>
      <c r="AR601" s="4"/>
      <c r="AS601" s="4"/>
      <c r="AT601" s="4"/>
      <c r="AU601" s="4"/>
      <c r="AV601" s="4"/>
      <c r="AX601" s="4"/>
    </row>
    <row r="602" spans="1:50" ht="12.75" customHeight="1" x14ac:dyDescent="0.2">
      <c r="A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N602" s="4"/>
      <c r="AO602" s="4"/>
      <c r="AP602" s="4"/>
      <c r="AQ602" s="4"/>
      <c r="AR602" s="4"/>
      <c r="AS602" s="4"/>
      <c r="AT602" s="4"/>
      <c r="AU602" s="4"/>
      <c r="AV602" s="4"/>
      <c r="AX602" s="4"/>
    </row>
    <row r="603" spans="1:50" ht="12.75" customHeight="1" x14ac:dyDescent="0.2">
      <c r="A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N603" s="4"/>
      <c r="AO603" s="4"/>
      <c r="AP603" s="4"/>
      <c r="AQ603" s="4"/>
      <c r="AR603" s="4"/>
      <c r="AS603" s="4"/>
      <c r="AT603" s="4"/>
      <c r="AU603" s="4"/>
      <c r="AV603" s="4"/>
      <c r="AX603" s="4"/>
    </row>
    <row r="604" spans="1:50" ht="12.75" customHeight="1" x14ac:dyDescent="0.2">
      <c r="A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N604" s="4"/>
      <c r="AO604" s="4"/>
      <c r="AP604" s="4"/>
      <c r="AQ604" s="4"/>
      <c r="AR604" s="4"/>
      <c r="AS604" s="4"/>
      <c r="AT604" s="4"/>
      <c r="AU604" s="4"/>
      <c r="AV604" s="4"/>
      <c r="AX604" s="4"/>
    </row>
    <row r="605" spans="1:50" ht="12.75" customHeight="1" x14ac:dyDescent="0.2">
      <c r="A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N605" s="4"/>
      <c r="AO605" s="4"/>
      <c r="AP605" s="4"/>
      <c r="AQ605" s="4"/>
      <c r="AR605" s="4"/>
      <c r="AS605" s="4"/>
      <c r="AT605" s="4"/>
      <c r="AU605" s="4"/>
      <c r="AV605" s="4"/>
      <c r="AX605" s="4"/>
    </row>
    <row r="606" spans="1:50" ht="12.75" customHeight="1" x14ac:dyDescent="0.2">
      <c r="A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N606" s="4"/>
      <c r="AO606" s="4"/>
      <c r="AP606" s="4"/>
      <c r="AQ606" s="4"/>
      <c r="AR606" s="4"/>
      <c r="AS606" s="4"/>
      <c r="AT606" s="4"/>
      <c r="AU606" s="4"/>
      <c r="AV606" s="4"/>
      <c r="AX606" s="4"/>
    </row>
    <row r="607" spans="1:50" ht="12.75" customHeight="1" x14ac:dyDescent="0.2">
      <c r="A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N607" s="4"/>
      <c r="AO607" s="4"/>
      <c r="AP607" s="4"/>
      <c r="AQ607" s="4"/>
      <c r="AR607" s="4"/>
      <c r="AS607" s="4"/>
      <c r="AT607" s="4"/>
      <c r="AU607" s="4"/>
      <c r="AV607" s="4"/>
      <c r="AX607" s="4"/>
    </row>
    <row r="608" spans="1:50" ht="12.75" customHeight="1" x14ac:dyDescent="0.2">
      <c r="A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N608" s="4"/>
      <c r="AO608" s="4"/>
      <c r="AP608" s="4"/>
      <c r="AQ608" s="4"/>
      <c r="AR608" s="4"/>
      <c r="AS608" s="4"/>
      <c r="AT608" s="4"/>
      <c r="AU608" s="4"/>
      <c r="AV608" s="4"/>
      <c r="AX608" s="4"/>
    </row>
    <row r="609" spans="1:50" ht="12.75" customHeight="1" x14ac:dyDescent="0.2">
      <c r="A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N609" s="4"/>
      <c r="AO609" s="4"/>
      <c r="AP609" s="4"/>
      <c r="AQ609" s="4"/>
      <c r="AR609" s="4"/>
      <c r="AS609" s="4"/>
      <c r="AT609" s="4"/>
      <c r="AU609" s="4"/>
      <c r="AV609" s="4"/>
      <c r="AX609" s="4"/>
    </row>
    <row r="610" spans="1:50" ht="12.75" customHeight="1" x14ac:dyDescent="0.2">
      <c r="A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N610" s="4"/>
      <c r="AO610" s="4"/>
      <c r="AP610" s="4"/>
      <c r="AQ610" s="4"/>
      <c r="AR610" s="4"/>
      <c r="AS610" s="4"/>
      <c r="AT610" s="4"/>
      <c r="AU610" s="4"/>
      <c r="AV610" s="4"/>
      <c r="AX610" s="4"/>
    </row>
    <row r="611" spans="1:50" ht="12.75" customHeight="1" x14ac:dyDescent="0.2">
      <c r="A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N611" s="4"/>
      <c r="AO611" s="4"/>
      <c r="AP611" s="4"/>
      <c r="AQ611" s="4"/>
      <c r="AR611" s="4"/>
      <c r="AS611" s="4"/>
      <c r="AT611" s="4"/>
      <c r="AU611" s="4"/>
      <c r="AV611" s="4"/>
      <c r="AX611" s="4"/>
    </row>
    <row r="612" spans="1:50" ht="12.75" customHeight="1" x14ac:dyDescent="0.2">
      <c r="A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N612" s="4"/>
      <c r="AO612" s="4"/>
      <c r="AP612" s="4"/>
      <c r="AQ612" s="4"/>
      <c r="AR612" s="4"/>
      <c r="AS612" s="4"/>
      <c r="AT612" s="4"/>
      <c r="AU612" s="4"/>
      <c r="AV612" s="4"/>
      <c r="AX612" s="4"/>
    </row>
    <row r="613" spans="1:50" ht="12.75" customHeight="1" x14ac:dyDescent="0.2">
      <c r="A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N613" s="4"/>
      <c r="AO613" s="4"/>
      <c r="AP613" s="4"/>
      <c r="AQ613" s="4"/>
      <c r="AR613" s="4"/>
      <c r="AS613" s="4"/>
      <c r="AT613" s="4"/>
      <c r="AU613" s="4"/>
      <c r="AV613" s="4"/>
      <c r="AX613" s="4"/>
    </row>
    <row r="614" spans="1:50" ht="12.75" customHeight="1" x14ac:dyDescent="0.2">
      <c r="A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N614" s="4"/>
      <c r="AO614" s="4"/>
      <c r="AP614" s="4"/>
      <c r="AQ614" s="4"/>
      <c r="AR614" s="4"/>
      <c r="AS614" s="4"/>
      <c r="AT614" s="4"/>
      <c r="AU614" s="4"/>
      <c r="AV614" s="4"/>
      <c r="AX614" s="4"/>
    </row>
    <row r="615" spans="1:50" ht="12.75" customHeight="1" x14ac:dyDescent="0.2">
      <c r="A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N615" s="4"/>
      <c r="AO615" s="4"/>
      <c r="AP615" s="4"/>
      <c r="AQ615" s="4"/>
      <c r="AR615" s="4"/>
      <c r="AS615" s="4"/>
      <c r="AT615" s="4"/>
      <c r="AU615" s="4"/>
      <c r="AV615" s="4"/>
      <c r="AX615" s="4"/>
    </row>
    <row r="616" spans="1:50" ht="12.75" customHeight="1" x14ac:dyDescent="0.2">
      <c r="A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N616" s="4"/>
      <c r="AO616" s="4"/>
      <c r="AP616" s="4"/>
      <c r="AQ616" s="4"/>
      <c r="AR616" s="4"/>
      <c r="AS616" s="4"/>
      <c r="AT616" s="4"/>
      <c r="AU616" s="4"/>
      <c r="AV616" s="4"/>
      <c r="AX616" s="4"/>
    </row>
    <row r="617" spans="1:50" ht="12.75" customHeight="1" x14ac:dyDescent="0.2">
      <c r="A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N617" s="4"/>
      <c r="AO617" s="4"/>
      <c r="AP617" s="4"/>
      <c r="AQ617" s="4"/>
      <c r="AR617" s="4"/>
      <c r="AS617" s="4"/>
      <c r="AT617" s="4"/>
      <c r="AU617" s="4"/>
      <c r="AV617" s="4"/>
      <c r="AX617" s="4"/>
    </row>
    <row r="618" spans="1:50" ht="12.75" customHeight="1" x14ac:dyDescent="0.2">
      <c r="A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N618" s="4"/>
      <c r="AO618" s="4"/>
      <c r="AP618" s="4"/>
      <c r="AQ618" s="4"/>
      <c r="AR618" s="4"/>
      <c r="AS618" s="4"/>
      <c r="AT618" s="4"/>
      <c r="AU618" s="4"/>
      <c r="AV618" s="4"/>
      <c r="AX618" s="4"/>
    </row>
    <row r="619" spans="1:50" ht="12.75" customHeight="1" x14ac:dyDescent="0.2">
      <c r="A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N619" s="4"/>
      <c r="AO619" s="4"/>
      <c r="AP619" s="4"/>
      <c r="AQ619" s="4"/>
      <c r="AR619" s="4"/>
      <c r="AS619" s="4"/>
      <c r="AT619" s="4"/>
      <c r="AU619" s="4"/>
      <c r="AV619" s="4"/>
      <c r="AX619" s="4"/>
    </row>
    <row r="620" spans="1:50" ht="12.75" customHeight="1" x14ac:dyDescent="0.2">
      <c r="A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N620" s="4"/>
      <c r="AO620" s="4"/>
      <c r="AP620" s="4"/>
      <c r="AQ620" s="4"/>
      <c r="AR620" s="4"/>
      <c r="AS620" s="4"/>
      <c r="AT620" s="4"/>
      <c r="AU620" s="4"/>
      <c r="AV620" s="4"/>
      <c r="AX620" s="4"/>
    </row>
    <row r="621" spans="1:50" ht="12.75" customHeight="1" x14ac:dyDescent="0.2">
      <c r="A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N621" s="4"/>
      <c r="AO621" s="4"/>
      <c r="AP621" s="4"/>
      <c r="AQ621" s="4"/>
      <c r="AR621" s="4"/>
      <c r="AS621" s="4"/>
      <c r="AT621" s="4"/>
      <c r="AU621" s="4"/>
      <c r="AV621" s="4"/>
      <c r="AX621" s="4"/>
    </row>
    <row r="622" spans="1:50" ht="12.75" customHeight="1" x14ac:dyDescent="0.2">
      <c r="A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N622" s="4"/>
      <c r="AO622" s="4"/>
      <c r="AP622" s="4"/>
      <c r="AQ622" s="4"/>
      <c r="AR622" s="4"/>
      <c r="AS622" s="4"/>
      <c r="AT622" s="4"/>
      <c r="AU622" s="4"/>
      <c r="AV622" s="4"/>
      <c r="AX622" s="4"/>
    </row>
    <row r="623" spans="1:50" ht="12.75" customHeight="1" x14ac:dyDescent="0.2">
      <c r="A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N623" s="4"/>
      <c r="AO623" s="4"/>
      <c r="AP623" s="4"/>
      <c r="AQ623" s="4"/>
      <c r="AR623" s="4"/>
      <c r="AS623" s="4"/>
      <c r="AT623" s="4"/>
      <c r="AU623" s="4"/>
      <c r="AV623" s="4"/>
      <c r="AX623" s="4"/>
    </row>
    <row r="624" spans="1:50" ht="12.75" customHeight="1" x14ac:dyDescent="0.2">
      <c r="A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N624" s="4"/>
      <c r="AO624" s="4"/>
      <c r="AP624" s="4"/>
      <c r="AQ624" s="4"/>
      <c r="AR624" s="4"/>
      <c r="AS624" s="4"/>
      <c r="AT624" s="4"/>
      <c r="AU624" s="4"/>
      <c r="AV624" s="4"/>
      <c r="AX624" s="4"/>
    </row>
    <row r="625" spans="1:50" ht="12.75" customHeight="1" x14ac:dyDescent="0.2">
      <c r="A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N625" s="4"/>
      <c r="AO625" s="4"/>
      <c r="AP625" s="4"/>
      <c r="AQ625" s="4"/>
      <c r="AR625" s="4"/>
      <c r="AS625" s="4"/>
      <c r="AT625" s="4"/>
      <c r="AU625" s="4"/>
      <c r="AV625" s="4"/>
      <c r="AX625" s="4"/>
    </row>
    <row r="626" spans="1:50" ht="12.75" customHeight="1" x14ac:dyDescent="0.2">
      <c r="A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N626" s="4"/>
      <c r="AO626" s="4"/>
      <c r="AP626" s="4"/>
      <c r="AQ626" s="4"/>
      <c r="AR626" s="4"/>
      <c r="AS626" s="4"/>
      <c r="AT626" s="4"/>
      <c r="AU626" s="4"/>
      <c r="AV626" s="4"/>
      <c r="AX626" s="4"/>
    </row>
    <row r="627" spans="1:50" ht="12.75" customHeight="1" x14ac:dyDescent="0.2">
      <c r="A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N627" s="4"/>
      <c r="AO627" s="4"/>
      <c r="AP627" s="4"/>
      <c r="AQ627" s="4"/>
      <c r="AR627" s="4"/>
      <c r="AS627" s="4"/>
      <c r="AT627" s="4"/>
      <c r="AU627" s="4"/>
      <c r="AV627" s="4"/>
      <c r="AX627" s="4"/>
    </row>
    <row r="628" spans="1:50" ht="12.75" customHeight="1" x14ac:dyDescent="0.2">
      <c r="A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N628" s="4"/>
      <c r="AO628" s="4"/>
      <c r="AP628" s="4"/>
      <c r="AQ628" s="4"/>
      <c r="AR628" s="4"/>
      <c r="AS628" s="4"/>
      <c r="AT628" s="4"/>
      <c r="AU628" s="4"/>
      <c r="AV628" s="4"/>
      <c r="AX628" s="4"/>
    </row>
    <row r="629" spans="1:50" ht="12.75" customHeight="1" x14ac:dyDescent="0.2">
      <c r="A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N629" s="4"/>
      <c r="AO629" s="4"/>
      <c r="AP629" s="4"/>
      <c r="AQ629" s="4"/>
      <c r="AR629" s="4"/>
      <c r="AS629" s="4"/>
      <c r="AT629" s="4"/>
      <c r="AU629" s="4"/>
      <c r="AV629" s="4"/>
      <c r="AX629" s="4"/>
    </row>
    <row r="630" spans="1:50" ht="12.75" customHeight="1" x14ac:dyDescent="0.2">
      <c r="A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N630" s="4"/>
      <c r="AO630" s="4"/>
      <c r="AP630" s="4"/>
      <c r="AQ630" s="4"/>
      <c r="AR630" s="4"/>
      <c r="AS630" s="4"/>
      <c r="AT630" s="4"/>
      <c r="AU630" s="4"/>
      <c r="AV630" s="4"/>
      <c r="AX630" s="4"/>
    </row>
    <row r="631" spans="1:50" ht="12.75" customHeight="1" x14ac:dyDescent="0.2">
      <c r="A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N631" s="4"/>
      <c r="AO631" s="4"/>
      <c r="AP631" s="4"/>
      <c r="AQ631" s="4"/>
      <c r="AR631" s="4"/>
      <c r="AS631" s="4"/>
      <c r="AT631" s="4"/>
      <c r="AU631" s="4"/>
      <c r="AV631" s="4"/>
      <c r="AX631" s="4"/>
    </row>
    <row r="632" spans="1:50" ht="12.75" customHeight="1" x14ac:dyDescent="0.2">
      <c r="A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N632" s="4"/>
      <c r="AO632" s="4"/>
      <c r="AP632" s="4"/>
      <c r="AQ632" s="4"/>
      <c r="AR632" s="4"/>
      <c r="AS632" s="4"/>
      <c r="AT632" s="4"/>
      <c r="AU632" s="4"/>
      <c r="AV632" s="4"/>
      <c r="AX632" s="4"/>
    </row>
    <row r="633" spans="1:50" ht="12.75" customHeight="1" x14ac:dyDescent="0.2">
      <c r="A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N633" s="4"/>
      <c r="AO633" s="4"/>
      <c r="AP633" s="4"/>
      <c r="AQ633" s="4"/>
      <c r="AR633" s="4"/>
      <c r="AS633" s="4"/>
      <c r="AT633" s="4"/>
      <c r="AU633" s="4"/>
      <c r="AV633" s="4"/>
      <c r="AX633" s="4"/>
    </row>
    <row r="634" spans="1:50" ht="12.75" customHeight="1" x14ac:dyDescent="0.2">
      <c r="A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N634" s="4"/>
      <c r="AO634" s="4"/>
      <c r="AP634" s="4"/>
      <c r="AQ634" s="4"/>
      <c r="AR634" s="4"/>
      <c r="AS634" s="4"/>
      <c r="AT634" s="4"/>
      <c r="AU634" s="4"/>
      <c r="AV634" s="4"/>
      <c r="AX634" s="4"/>
    </row>
    <row r="635" spans="1:50" ht="12.75" customHeight="1" x14ac:dyDescent="0.2">
      <c r="A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N635" s="4"/>
      <c r="AO635" s="4"/>
      <c r="AP635" s="4"/>
      <c r="AQ635" s="4"/>
      <c r="AR635" s="4"/>
      <c r="AS635" s="4"/>
      <c r="AT635" s="4"/>
      <c r="AU635" s="4"/>
      <c r="AV635" s="4"/>
      <c r="AX635" s="4"/>
    </row>
    <row r="636" spans="1:50" ht="12.75" customHeight="1" x14ac:dyDescent="0.2">
      <c r="A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N636" s="4"/>
      <c r="AO636" s="4"/>
      <c r="AP636" s="4"/>
      <c r="AQ636" s="4"/>
      <c r="AR636" s="4"/>
      <c r="AS636" s="4"/>
      <c r="AT636" s="4"/>
      <c r="AU636" s="4"/>
      <c r="AV636" s="4"/>
      <c r="AX636" s="4"/>
    </row>
    <row r="637" spans="1:50" ht="12.75" customHeight="1" x14ac:dyDescent="0.2">
      <c r="A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N637" s="4"/>
      <c r="AO637" s="4"/>
      <c r="AP637" s="4"/>
      <c r="AQ637" s="4"/>
      <c r="AR637" s="4"/>
      <c r="AS637" s="4"/>
      <c r="AT637" s="4"/>
      <c r="AU637" s="4"/>
      <c r="AV637" s="4"/>
      <c r="AX637" s="4"/>
    </row>
    <row r="638" spans="1:50" ht="12.75" customHeight="1" x14ac:dyDescent="0.2">
      <c r="A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N638" s="4"/>
      <c r="AO638" s="4"/>
      <c r="AP638" s="4"/>
      <c r="AQ638" s="4"/>
      <c r="AR638" s="4"/>
      <c r="AS638" s="4"/>
      <c r="AT638" s="4"/>
      <c r="AU638" s="4"/>
      <c r="AV638" s="4"/>
      <c r="AX638" s="4"/>
    </row>
    <row r="639" spans="1:50" ht="12.75" customHeight="1" x14ac:dyDescent="0.2">
      <c r="A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N639" s="4"/>
      <c r="AO639" s="4"/>
      <c r="AP639" s="4"/>
      <c r="AQ639" s="4"/>
      <c r="AR639" s="4"/>
      <c r="AS639" s="4"/>
      <c r="AT639" s="4"/>
      <c r="AU639" s="4"/>
      <c r="AV639" s="4"/>
      <c r="AX639" s="4"/>
    </row>
    <row r="640" spans="1:50" ht="12.75" customHeight="1" x14ac:dyDescent="0.2">
      <c r="A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N640" s="4"/>
      <c r="AO640" s="4"/>
      <c r="AP640" s="4"/>
      <c r="AQ640" s="4"/>
      <c r="AR640" s="4"/>
      <c r="AS640" s="4"/>
      <c r="AT640" s="4"/>
      <c r="AU640" s="4"/>
      <c r="AV640" s="4"/>
      <c r="AX640" s="4"/>
    </row>
    <row r="641" spans="1:50" ht="12.75" customHeight="1" x14ac:dyDescent="0.2">
      <c r="A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N641" s="4"/>
      <c r="AO641" s="4"/>
      <c r="AP641" s="4"/>
      <c r="AQ641" s="4"/>
      <c r="AR641" s="4"/>
      <c r="AS641" s="4"/>
      <c r="AT641" s="4"/>
      <c r="AU641" s="4"/>
      <c r="AV641" s="4"/>
      <c r="AX641" s="4"/>
    </row>
    <row r="642" spans="1:50" ht="12.75" customHeight="1" x14ac:dyDescent="0.2">
      <c r="A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N642" s="4"/>
      <c r="AO642" s="4"/>
      <c r="AP642" s="4"/>
      <c r="AQ642" s="4"/>
      <c r="AR642" s="4"/>
      <c r="AS642" s="4"/>
      <c r="AT642" s="4"/>
      <c r="AU642" s="4"/>
      <c r="AV642" s="4"/>
      <c r="AX642" s="4"/>
    </row>
    <row r="643" spans="1:50" ht="12.75" customHeight="1" x14ac:dyDescent="0.2">
      <c r="A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N643" s="4"/>
      <c r="AO643" s="4"/>
      <c r="AP643" s="4"/>
      <c r="AQ643" s="4"/>
      <c r="AR643" s="4"/>
      <c r="AS643" s="4"/>
      <c r="AT643" s="4"/>
      <c r="AU643" s="4"/>
      <c r="AV643" s="4"/>
      <c r="AX643" s="4"/>
    </row>
    <row r="644" spans="1:50" ht="12.75" customHeight="1" x14ac:dyDescent="0.2">
      <c r="A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N644" s="4"/>
      <c r="AO644" s="4"/>
      <c r="AP644" s="4"/>
      <c r="AQ644" s="4"/>
      <c r="AR644" s="4"/>
      <c r="AS644" s="4"/>
      <c r="AT644" s="4"/>
      <c r="AU644" s="4"/>
      <c r="AV644" s="4"/>
      <c r="AX644" s="4"/>
    </row>
    <row r="645" spans="1:50" ht="12.75" customHeight="1" x14ac:dyDescent="0.2">
      <c r="A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N645" s="4"/>
      <c r="AO645" s="4"/>
      <c r="AP645" s="4"/>
      <c r="AQ645" s="4"/>
      <c r="AR645" s="4"/>
      <c r="AS645" s="4"/>
      <c r="AT645" s="4"/>
      <c r="AU645" s="4"/>
      <c r="AV645" s="4"/>
      <c r="AX645" s="4"/>
    </row>
    <row r="646" spans="1:50" ht="12.75" customHeight="1" x14ac:dyDescent="0.2">
      <c r="A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N646" s="4"/>
      <c r="AO646" s="4"/>
      <c r="AP646" s="4"/>
      <c r="AQ646" s="4"/>
      <c r="AR646" s="4"/>
      <c r="AS646" s="4"/>
      <c r="AT646" s="4"/>
      <c r="AU646" s="4"/>
      <c r="AV646" s="4"/>
      <c r="AX646" s="4"/>
    </row>
    <row r="647" spans="1:50" ht="12.75" customHeight="1" x14ac:dyDescent="0.2">
      <c r="A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N647" s="4"/>
      <c r="AO647" s="4"/>
      <c r="AP647" s="4"/>
      <c r="AQ647" s="4"/>
      <c r="AR647" s="4"/>
      <c r="AS647" s="4"/>
      <c r="AT647" s="4"/>
      <c r="AU647" s="4"/>
      <c r="AV647" s="4"/>
      <c r="AX647" s="4"/>
    </row>
    <row r="648" spans="1:50" ht="12.75" customHeight="1" x14ac:dyDescent="0.2">
      <c r="A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N648" s="4"/>
      <c r="AO648" s="4"/>
      <c r="AP648" s="4"/>
      <c r="AQ648" s="4"/>
      <c r="AR648" s="4"/>
      <c r="AS648" s="4"/>
      <c r="AT648" s="4"/>
      <c r="AU648" s="4"/>
      <c r="AV648" s="4"/>
      <c r="AX648" s="4"/>
    </row>
    <row r="649" spans="1:50" ht="12.75" customHeight="1" x14ac:dyDescent="0.2">
      <c r="A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N649" s="4"/>
      <c r="AO649" s="4"/>
      <c r="AP649" s="4"/>
      <c r="AQ649" s="4"/>
      <c r="AR649" s="4"/>
      <c r="AS649" s="4"/>
      <c r="AT649" s="4"/>
      <c r="AU649" s="4"/>
      <c r="AV649" s="4"/>
      <c r="AX649" s="4"/>
    </row>
    <row r="650" spans="1:50" ht="12.75" customHeight="1" x14ac:dyDescent="0.2">
      <c r="A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N650" s="4"/>
      <c r="AO650" s="4"/>
      <c r="AP650" s="4"/>
      <c r="AQ650" s="4"/>
      <c r="AR650" s="4"/>
      <c r="AS650" s="4"/>
      <c r="AT650" s="4"/>
      <c r="AU650" s="4"/>
      <c r="AV650" s="4"/>
      <c r="AX650" s="4"/>
    </row>
    <row r="651" spans="1:50" ht="12.75" customHeight="1" x14ac:dyDescent="0.2">
      <c r="A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N651" s="4"/>
      <c r="AO651" s="4"/>
      <c r="AP651" s="4"/>
      <c r="AQ651" s="4"/>
      <c r="AR651" s="4"/>
      <c r="AS651" s="4"/>
      <c r="AT651" s="4"/>
      <c r="AU651" s="4"/>
      <c r="AV651" s="4"/>
      <c r="AX651" s="4"/>
    </row>
    <row r="652" spans="1:50" ht="12.75" customHeight="1" x14ac:dyDescent="0.2">
      <c r="A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N652" s="4"/>
      <c r="AO652" s="4"/>
      <c r="AP652" s="4"/>
      <c r="AQ652" s="4"/>
      <c r="AR652" s="4"/>
      <c r="AS652" s="4"/>
      <c r="AT652" s="4"/>
      <c r="AU652" s="4"/>
      <c r="AV652" s="4"/>
      <c r="AX652" s="4"/>
    </row>
    <row r="653" spans="1:50" ht="12.75" customHeight="1" x14ac:dyDescent="0.2">
      <c r="A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N653" s="4"/>
      <c r="AO653" s="4"/>
      <c r="AP653" s="4"/>
      <c r="AQ653" s="4"/>
      <c r="AR653" s="4"/>
      <c r="AS653" s="4"/>
      <c r="AT653" s="4"/>
      <c r="AU653" s="4"/>
      <c r="AV653" s="4"/>
      <c r="AX653" s="4"/>
    </row>
    <row r="654" spans="1:50" ht="12.75" customHeight="1" x14ac:dyDescent="0.2">
      <c r="A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N654" s="4"/>
      <c r="AO654" s="4"/>
      <c r="AP654" s="4"/>
      <c r="AQ654" s="4"/>
      <c r="AR654" s="4"/>
      <c r="AS654" s="4"/>
      <c r="AT654" s="4"/>
      <c r="AU654" s="4"/>
      <c r="AV654" s="4"/>
      <c r="AX654" s="4"/>
    </row>
    <row r="655" spans="1:50" ht="12.75" customHeight="1" x14ac:dyDescent="0.2">
      <c r="A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N655" s="4"/>
      <c r="AO655" s="4"/>
      <c r="AP655" s="4"/>
      <c r="AQ655" s="4"/>
      <c r="AR655" s="4"/>
      <c r="AS655" s="4"/>
      <c r="AT655" s="4"/>
      <c r="AU655" s="4"/>
      <c r="AV655" s="4"/>
      <c r="AX655" s="4"/>
    </row>
    <row r="656" spans="1:50" ht="12.75" customHeight="1" x14ac:dyDescent="0.2">
      <c r="A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N656" s="4"/>
      <c r="AO656" s="4"/>
      <c r="AP656" s="4"/>
      <c r="AQ656" s="4"/>
      <c r="AR656" s="4"/>
      <c r="AS656" s="4"/>
      <c r="AT656" s="4"/>
      <c r="AU656" s="4"/>
      <c r="AV656" s="4"/>
      <c r="AX656" s="4"/>
    </row>
    <row r="657" spans="1:50" ht="12.75" customHeight="1" x14ac:dyDescent="0.2">
      <c r="A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N657" s="4"/>
      <c r="AO657" s="4"/>
      <c r="AP657" s="4"/>
      <c r="AQ657" s="4"/>
      <c r="AR657" s="4"/>
      <c r="AS657" s="4"/>
      <c r="AT657" s="4"/>
      <c r="AU657" s="4"/>
      <c r="AV657" s="4"/>
      <c r="AX657" s="4"/>
    </row>
    <row r="658" spans="1:50" ht="12.75" customHeight="1" x14ac:dyDescent="0.2">
      <c r="A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N658" s="4"/>
      <c r="AO658" s="4"/>
      <c r="AP658" s="4"/>
      <c r="AQ658" s="4"/>
      <c r="AR658" s="4"/>
      <c r="AS658" s="4"/>
      <c r="AT658" s="4"/>
      <c r="AU658" s="4"/>
      <c r="AV658" s="4"/>
      <c r="AX658" s="4"/>
    </row>
    <row r="659" spans="1:50" ht="12.75" customHeight="1" x14ac:dyDescent="0.2">
      <c r="A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N659" s="4"/>
      <c r="AO659" s="4"/>
      <c r="AP659" s="4"/>
      <c r="AQ659" s="4"/>
      <c r="AR659" s="4"/>
      <c r="AS659" s="4"/>
      <c r="AT659" s="4"/>
      <c r="AU659" s="4"/>
      <c r="AV659" s="4"/>
      <c r="AX659" s="4"/>
    </row>
    <row r="660" spans="1:50" ht="12.75" customHeight="1" x14ac:dyDescent="0.2">
      <c r="A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N660" s="4"/>
      <c r="AO660" s="4"/>
      <c r="AP660" s="4"/>
      <c r="AQ660" s="4"/>
      <c r="AR660" s="4"/>
      <c r="AS660" s="4"/>
      <c r="AT660" s="4"/>
      <c r="AU660" s="4"/>
      <c r="AV660" s="4"/>
      <c r="AX660" s="4"/>
    </row>
    <row r="661" spans="1:50" ht="12.75" customHeight="1" x14ac:dyDescent="0.2">
      <c r="A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N661" s="4"/>
      <c r="AO661" s="4"/>
      <c r="AP661" s="4"/>
      <c r="AQ661" s="4"/>
      <c r="AR661" s="4"/>
      <c r="AS661" s="4"/>
      <c r="AT661" s="4"/>
      <c r="AU661" s="4"/>
      <c r="AV661" s="4"/>
      <c r="AX661" s="4"/>
    </row>
    <row r="662" spans="1:50" ht="12.75" customHeight="1" x14ac:dyDescent="0.2">
      <c r="A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N662" s="4"/>
      <c r="AO662" s="4"/>
      <c r="AP662" s="4"/>
      <c r="AQ662" s="4"/>
      <c r="AR662" s="4"/>
      <c r="AS662" s="4"/>
      <c r="AT662" s="4"/>
      <c r="AU662" s="4"/>
      <c r="AV662" s="4"/>
      <c r="AX662" s="4"/>
    </row>
    <row r="663" spans="1:50" ht="12.75" customHeight="1" x14ac:dyDescent="0.2">
      <c r="A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N663" s="4"/>
      <c r="AO663" s="4"/>
      <c r="AP663" s="4"/>
      <c r="AQ663" s="4"/>
      <c r="AR663" s="4"/>
      <c r="AS663" s="4"/>
      <c r="AT663" s="4"/>
      <c r="AU663" s="4"/>
      <c r="AV663" s="4"/>
      <c r="AX663" s="4"/>
    </row>
    <row r="664" spans="1:50" ht="12.75" customHeight="1" x14ac:dyDescent="0.2">
      <c r="A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N664" s="4"/>
      <c r="AO664" s="4"/>
      <c r="AP664" s="4"/>
      <c r="AQ664" s="4"/>
      <c r="AR664" s="4"/>
      <c r="AS664" s="4"/>
      <c r="AT664" s="4"/>
      <c r="AU664" s="4"/>
      <c r="AV664" s="4"/>
      <c r="AX664" s="4"/>
    </row>
    <row r="665" spans="1:50" ht="12.75" customHeight="1" x14ac:dyDescent="0.2">
      <c r="A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N665" s="4"/>
      <c r="AO665" s="4"/>
      <c r="AP665" s="4"/>
      <c r="AQ665" s="4"/>
      <c r="AR665" s="4"/>
      <c r="AS665" s="4"/>
      <c r="AT665" s="4"/>
      <c r="AU665" s="4"/>
      <c r="AV665" s="4"/>
      <c r="AX665" s="4"/>
    </row>
    <row r="666" spans="1:50" ht="12.75" customHeight="1" x14ac:dyDescent="0.2">
      <c r="A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N666" s="4"/>
      <c r="AO666" s="4"/>
      <c r="AP666" s="4"/>
      <c r="AQ666" s="4"/>
      <c r="AR666" s="4"/>
      <c r="AS666" s="4"/>
      <c r="AT666" s="4"/>
      <c r="AU666" s="4"/>
      <c r="AV666" s="4"/>
      <c r="AX666" s="4"/>
    </row>
    <row r="667" spans="1:50" ht="12.75" customHeight="1" x14ac:dyDescent="0.2">
      <c r="A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N667" s="4"/>
      <c r="AO667" s="4"/>
      <c r="AP667" s="4"/>
      <c r="AQ667" s="4"/>
      <c r="AR667" s="4"/>
      <c r="AS667" s="4"/>
      <c r="AT667" s="4"/>
      <c r="AU667" s="4"/>
      <c r="AV667" s="4"/>
      <c r="AX667" s="4"/>
    </row>
    <row r="668" spans="1:50" ht="12.75" customHeight="1" x14ac:dyDescent="0.2">
      <c r="A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N668" s="4"/>
      <c r="AO668" s="4"/>
      <c r="AP668" s="4"/>
      <c r="AQ668" s="4"/>
      <c r="AR668" s="4"/>
      <c r="AS668" s="4"/>
      <c r="AT668" s="4"/>
      <c r="AU668" s="4"/>
      <c r="AV668" s="4"/>
      <c r="AX668" s="4"/>
    </row>
    <row r="669" spans="1:50" ht="12.75" customHeight="1" x14ac:dyDescent="0.2">
      <c r="A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N669" s="4"/>
      <c r="AO669" s="4"/>
      <c r="AP669" s="4"/>
      <c r="AQ669" s="4"/>
      <c r="AR669" s="4"/>
      <c r="AS669" s="4"/>
      <c r="AT669" s="4"/>
      <c r="AU669" s="4"/>
      <c r="AV669" s="4"/>
      <c r="AX669" s="4"/>
    </row>
    <row r="670" spans="1:50" ht="12.75" customHeight="1" x14ac:dyDescent="0.2">
      <c r="A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N670" s="4"/>
      <c r="AO670" s="4"/>
      <c r="AP670" s="4"/>
      <c r="AQ670" s="4"/>
      <c r="AR670" s="4"/>
      <c r="AS670" s="4"/>
      <c r="AT670" s="4"/>
      <c r="AU670" s="4"/>
      <c r="AV670" s="4"/>
      <c r="AX670" s="4"/>
    </row>
    <row r="671" spans="1:50" ht="12.75" customHeight="1" x14ac:dyDescent="0.2">
      <c r="A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N671" s="4"/>
      <c r="AO671" s="4"/>
      <c r="AP671" s="4"/>
      <c r="AQ671" s="4"/>
      <c r="AR671" s="4"/>
      <c r="AS671" s="4"/>
      <c r="AT671" s="4"/>
      <c r="AU671" s="4"/>
      <c r="AV671" s="4"/>
      <c r="AX671" s="4"/>
    </row>
    <row r="672" spans="1:50" ht="12.75" customHeight="1" x14ac:dyDescent="0.2">
      <c r="A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N672" s="4"/>
      <c r="AO672" s="4"/>
      <c r="AP672" s="4"/>
      <c r="AQ672" s="4"/>
      <c r="AR672" s="4"/>
      <c r="AS672" s="4"/>
      <c r="AT672" s="4"/>
      <c r="AU672" s="4"/>
      <c r="AV672" s="4"/>
      <c r="AX672" s="4"/>
    </row>
    <row r="673" spans="1:50" ht="12.75" customHeight="1" x14ac:dyDescent="0.2">
      <c r="A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N673" s="4"/>
      <c r="AO673" s="4"/>
      <c r="AP673" s="4"/>
      <c r="AQ673" s="4"/>
      <c r="AR673" s="4"/>
      <c r="AS673" s="4"/>
      <c r="AT673" s="4"/>
      <c r="AU673" s="4"/>
      <c r="AV673" s="4"/>
      <c r="AX673" s="4"/>
    </row>
    <row r="674" spans="1:50" ht="12.75" customHeight="1" x14ac:dyDescent="0.2">
      <c r="A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N674" s="4"/>
      <c r="AO674" s="4"/>
      <c r="AP674" s="4"/>
      <c r="AQ674" s="4"/>
      <c r="AR674" s="4"/>
      <c r="AS674" s="4"/>
      <c r="AT674" s="4"/>
      <c r="AU674" s="4"/>
      <c r="AV674" s="4"/>
      <c r="AX674" s="4"/>
    </row>
    <row r="675" spans="1:50" ht="12.75" customHeight="1" x14ac:dyDescent="0.2">
      <c r="A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N675" s="4"/>
      <c r="AO675" s="4"/>
      <c r="AP675" s="4"/>
      <c r="AQ675" s="4"/>
      <c r="AR675" s="4"/>
      <c r="AS675" s="4"/>
      <c r="AT675" s="4"/>
      <c r="AU675" s="4"/>
      <c r="AV675" s="4"/>
      <c r="AX675" s="4"/>
    </row>
    <row r="676" spans="1:50" ht="12.75" customHeight="1" x14ac:dyDescent="0.2">
      <c r="A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N676" s="4"/>
      <c r="AO676" s="4"/>
      <c r="AP676" s="4"/>
      <c r="AQ676" s="4"/>
      <c r="AR676" s="4"/>
      <c r="AS676" s="4"/>
      <c r="AT676" s="4"/>
      <c r="AU676" s="4"/>
      <c r="AV676" s="4"/>
      <c r="AX676" s="4"/>
    </row>
    <row r="677" spans="1:50" ht="12.75" customHeight="1" x14ac:dyDescent="0.2">
      <c r="A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N677" s="4"/>
      <c r="AO677" s="4"/>
      <c r="AP677" s="4"/>
      <c r="AQ677" s="4"/>
      <c r="AR677" s="4"/>
      <c r="AS677" s="4"/>
      <c r="AT677" s="4"/>
      <c r="AU677" s="4"/>
      <c r="AV677" s="4"/>
      <c r="AX677" s="4"/>
    </row>
    <row r="678" spans="1:50" ht="12.75" customHeight="1" x14ac:dyDescent="0.2">
      <c r="A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N678" s="4"/>
      <c r="AO678" s="4"/>
      <c r="AP678" s="4"/>
      <c r="AQ678" s="4"/>
      <c r="AR678" s="4"/>
      <c r="AS678" s="4"/>
      <c r="AT678" s="4"/>
      <c r="AU678" s="4"/>
      <c r="AV678" s="4"/>
      <c r="AX678" s="4"/>
    </row>
    <row r="679" spans="1:50" ht="12.75" customHeight="1" x14ac:dyDescent="0.2">
      <c r="A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N679" s="4"/>
      <c r="AO679" s="4"/>
      <c r="AP679" s="4"/>
      <c r="AQ679" s="4"/>
      <c r="AR679" s="4"/>
      <c r="AS679" s="4"/>
      <c r="AT679" s="4"/>
      <c r="AU679" s="4"/>
      <c r="AV679" s="4"/>
      <c r="AX679" s="4"/>
    </row>
    <row r="680" spans="1:50" ht="12.75" customHeight="1" x14ac:dyDescent="0.2">
      <c r="A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N680" s="4"/>
      <c r="AO680" s="4"/>
      <c r="AP680" s="4"/>
      <c r="AQ680" s="4"/>
      <c r="AR680" s="4"/>
      <c r="AS680" s="4"/>
      <c r="AT680" s="4"/>
      <c r="AU680" s="4"/>
      <c r="AV680" s="4"/>
      <c r="AX680" s="4"/>
    </row>
    <row r="681" spans="1:50" ht="12.75" customHeight="1" x14ac:dyDescent="0.2">
      <c r="A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N681" s="4"/>
      <c r="AO681" s="4"/>
      <c r="AP681" s="4"/>
      <c r="AQ681" s="4"/>
      <c r="AR681" s="4"/>
      <c r="AS681" s="4"/>
      <c r="AT681" s="4"/>
      <c r="AU681" s="4"/>
      <c r="AV681" s="4"/>
      <c r="AX681" s="4"/>
    </row>
    <row r="682" spans="1:50" ht="12.75" customHeight="1" x14ac:dyDescent="0.2">
      <c r="A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N682" s="4"/>
      <c r="AO682" s="4"/>
      <c r="AP682" s="4"/>
      <c r="AQ682" s="4"/>
      <c r="AR682" s="4"/>
      <c r="AS682" s="4"/>
      <c r="AT682" s="4"/>
      <c r="AU682" s="4"/>
      <c r="AV682" s="4"/>
      <c r="AX682" s="4"/>
    </row>
    <row r="683" spans="1:50" ht="12.75" customHeight="1" x14ac:dyDescent="0.2">
      <c r="A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N683" s="4"/>
      <c r="AO683" s="4"/>
      <c r="AP683" s="4"/>
      <c r="AQ683" s="4"/>
      <c r="AR683" s="4"/>
      <c r="AS683" s="4"/>
      <c r="AT683" s="4"/>
      <c r="AU683" s="4"/>
      <c r="AV683" s="4"/>
      <c r="AX683" s="4"/>
    </row>
    <row r="684" spans="1:50" ht="12.75" customHeight="1" x14ac:dyDescent="0.2">
      <c r="A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N684" s="4"/>
      <c r="AO684" s="4"/>
      <c r="AP684" s="4"/>
      <c r="AQ684" s="4"/>
      <c r="AR684" s="4"/>
      <c r="AS684" s="4"/>
      <c r="AT684" s="4"/>
      <c r="AU684" s="4"/>
      <c r="AV684" s="4"/>
      <c r="AX684" s="4"/>
    </row>
    <row r="685" spans="1:50" ht="12.75" customHeight="1" x14ac:dyDescent="0.2">
      <c r="A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N685" s="4"/>
      <c r="AO685" s="4"/>
      <c r="AP685" s="4"/>
      <c r="AQ685" s="4"/>
      <c r="AR685" s="4"/>
      <c r="AS685" s="4"/>
      <c r="AT685" s="4"/>
      <c r="AU685" s="4"/>
      <c r="AV685" s="4"/>
      <c r="AX685" s="4"/>
    </row>
    <row r="686" spans="1:50" ht="12.75" customHeight="1" x14ac:dyDescent="0.2">
      <c r="A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N686" s="4"/>
      <c r="AO686" s="4"/>
      <c r="AP686" s="4"/>
      <c r="AQ686" s="4"/>
      <c r="AR686" s="4"/>
      <c r="AS686" s="4"/>
      <c r="AT686" s="4"/>
      <c r="AU686" s="4"/>
      <c r="AV686" s="4"/>
      <c r="AX686" s="4"/>
    </row>
    <row r="687" spans="1:50" ht="12.75" customHeight="1" x14ac:dyDescent="0.2">
      <c r="A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N687" s="4"/>
      <c r="AO687" s="4"/>
      <c r="AP687" s="4"/>
      <c r="AQ687" s="4"/>
      <c r="AR687" s="4"/>
      <c r="AS687" s="4"/>
      <c r="AT687" s="4"/>
      <c r="AU687" s="4"/>
      <c r="AV687" s="4"/>
      <c r="AX687" s="4"/>
    </row>
    <row r="688" spans="1:50" ht="12.75" customHeight="1" x14ac:dyDescent="0.2">
      <c r="A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N688" s="4"/>
      <c r="AO688" s="4"/>
      <c r="AP688" s="4"/>
      <c r="AQ688" s="4"/>
      <c r="AR688" s="4"/>
      <c r="AS688" s="4"/>
      <c r="AT688" s="4"/>
      <c r="AU688" s="4"/>
      <c r="AV688" s="4"/>
      <c r="AX688" s="4"/>
    </row>
    <row r="689" spans="1:50" ht="12.75" customHeight="1" x14ac:dyDescent="0.2">
      <c r="A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N689" s="4"/>
      <c r="AO689" s="4"/>
      <c r="AP689" s="4"/>
      <c r="AQ689" s="4"/>
      <c r="AR689" s="4"/>
      <c r="AS689" s="4"/>
      <c r="AT689" s="4"/>
      <c r="AU689" s="4"/>
      <c r="AV689" s="4"/>
      <c r="AX689" s="4"/>
    </row>
    <row r="690" spans="1:50" ht="12.75" customHeight="1" x14ac:dyDescent="0.2">
      <c r="A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N690" s="4"/>
      <c r="AO690" s="4"/>
      <c r="AP690" s="4"/>
      <c r="AQ690" s="4"/>
      <c r="AR690" s="4"/>
      <c r="AS690" s="4"/>
      <c r="AT690" s="4"/>
      <c r="AU690" s="4"/>
      <c r="AV690" s="4"/>
      <c r="AX690" s="4"/>
    </row>
    <row r="691" spans="1:50" ht="12.75" customHeight="1" x14ac:dyDescent="0.2">
      <c r="A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N691" s="4"/>
      <c r="AO691" s="4"/>
      <c r="AP691" s="4"/>
      <c r="AQ691" s="4"/>
      <c r="AR691" s="4"/>
      <c r="AS691" s="4"/>
      <c r="AT691" s="4"/>
      <c r="AU691" s="4"/>
      <c r="AV691" s="4"/>
      <c r="AX691" s="4"/>
    </row>
    <row r="692" spans="1:50" ht="12.75" customHeight="1" x14ac:dyDescent="0.2">
      <c r="A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N692" s="4"/>
      <c r="AO692" s="4"/>
      <c r="AP692" s="4"/>
      <c r="AQ692" s="4"/>
      <c r="AR692" s="4"/>
      <c r="AS692" s="4"/>
      <c r="AT692" s="4"/>
      <c r="AU692" s="4"/>
      <c r="AV692" s="4"/>
      <c r="AX692" s="4"/>
    </row>
    <row r="693" spans="1:50" ht="12.75" customHeight="1" x14ac:dyDescent="0.2">
      <c r="A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N693" s="4"/>
      <c r="AO693" s="4"/>
      <c r="AP693" s="4"/>
      <c r="AQ693" s="4"/>
      <c r="AR693" s="4"/>
      <c r="AS693" s="4"/>
      <c r="AT693" s="4"/>
      <c r="AU693" s="4"/>
      <c r="AV693" s="4"/>
      <c r="AX693" s="4"/>
    </row>
    <row r="694" spans="1:50" ht="12.75" customHeight="1" x14ac:dyDescent="0.2">
      <c r="A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N694" s="4"/>
      <c r="AO694" s="4"/>
      <c r="AP694" s="4"/>
      <c r="AQ694" s="4"/>
      <c r="AR694" s="4"/>
      <c r="AS694" s="4"/>
      <c r="AT694" s="4"/>
      <c r="AU694" s="4"/>
      <c r="AV694" s="4"/>
      <c r="AX694" s="4"/>
    </row>
    <row r="695" spans="1:50" ht="12.75" customHeight="1" x14ac:dyDescent="0.2">
      <c r="A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N695" s="4"/>
      <c r="AO695" s="4"/>
      <c r="AP695" s="4"/>
      <c r="AQ695" s="4"/>
      <c r="AR695" s="4"/>
      <c r="AS695" s="4"/>
      <c r="AT695" s="4"/>
      <c r="AU695" s="4"/>
      <c r="AV695" s="4"/>
      <c r="AX695" s="4"/>
    </row>
    <row r="696" spans="1:50" ht="12.75" customHeight="1" x14ac:dyDescent="0.2">
      <c r="A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N696" s="4"/>
      <c r="AO696" s="4"/>
      <c r="AP696" s="4"/>
      <c r="AQ696" s="4"/>
      <c r="AR696" s="4"/>
      <c r="AS696" s="4"/>
      <c r="AT696" s="4"/>
      <c r="AU696" s="4"/>
      <c r="AV696" s="4"/>
      <c r="AX696" s="4"/>
    </row>
    <row r="697" spans="1:50" ht="12.75" customHeight="1" x14ac:dyDescent="0.2">
      <c r="A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N697" s="4"/>
      <c r="AO697" s="4"/>
      <c r="AP697" s="4"/>
      <c r="AQ697" s="4"/>
      <c r="AR697" s="4"/>
      <c r="AS697" s="4"/>
      <c r="AT697" s="4"/>
      <c r="AU697" s="4"/>
      <c r="AV697" s="4"/>
      <c r="AX697" s="4"/>
    </row>
    <row r="698" spans="1:50" ht="12.75" customHeight="1" x14ac:dyDescent="0.2">
      <c r="A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N698" s="4"/>
      <c r="AO698" s="4"/>
      <c r="AP698" s="4"/>
      <c r="AQ698" s="4"/>
      <c r="AR698" s="4"/>
      <c r="AS698" s="4"/>
      <c r="AT698" s="4"/>
      <c r="AU698" s="4"/>
      <c r="AV698" s="4"/>
      <c r="AX698" s="4"/>
    </row>
    <row r="699" spans="1:50" ht="12.75" customHeight="1" x14ac:dyDescent="0.2">
      <c r="A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N699" s="4"/>
      <c r="AO699" s="4"/>
      <c r="AP699" s="4"/>
      <c r="AQ699" s="4"/>
      <c r="AR699" s="4"/>
      <c r="AS699" s="4"/>
      <c r="AT699" s="4"/>
      <c r="AU699" s="4"/>
      <c r="AV699" s="4"/>
      <c r="AX699" s="4"/>
    </row>
    <row r="700" spans="1:50" ht="12.75" customHeight="1" x14ac:dyDescent="0.2">
      <c r="A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N700" s="4"/>
      <c r="AO700" s="4"/>
      <c r="AP700" s="4"/>
      <c r="AQ700" s="4"/>
      <c r="AR700" s="4"/>
      <c r="AS700" s="4"/>
      <c r="AT700" s="4"/>
      <c r="AU700" s="4"/>
      <c r="AV700" s="4"/>
      <c r="AX700" s="4"/>
    </row>
    <row r="701" spans="1:50" ht="12.75" customHeight="1" x14ac:dyDescent="0.2">
      <c r="A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N701" s="4"/>
      <c r="AO701" s="4"/>
      <c r="AP701" s="4"/>
      <c r="AQ701" s="4"/>
      <c r="AR701" s="4"/>
      <c r="AS701" s="4"/>
      <c r="AT701" s="4"/>
      <c r="AU701" s="4"/>
      <c r="AV701" s="4"/>
      <c r="AX701" s="4"/>
    </row>
    <row r="702" spans="1:50" ht="12.75" customHeight="1" x14ac:dyDescent="0.2">
      <c r="A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N702" s="4"/>
      <c r="AO702" s="4"/>
      <c r="AP702" s="4"/>
      <c r="AQ702" s="4"/>
      <c r="AR702" s="4"/>
      <c r="AS702" s="4"/>
      <c r="AT702" s="4"/>
      <c r="AU702" s="4"/>
      <c r="AV702" s="4"/>
      <c r="AX702" s="4"/>
    </row>
    <row r="703" spans="1:50" ht="12.75" customHeight="1" x14ac:dyDescent="0.2">
      <c r="A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N703" s="4"/>
      <c r="AO703" s="4"/>
      <c r="AP703" s="4"/>
      <c r="AQ703" s="4"/>
      <c r="AR703" s="4"/>
      <c r="AS703" s="4"/>
      <c r="AT703" s="4"/>
      <c r="AU703" s="4"/>
      <c r="AV703" s="4"/>
      <c r="AX703" s="4"/>
    </row>
    <row r="704" spans="1:50" ht="12.75" customHeight="1" x14ac:dyDescent="0.2">
      <c r="A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N704" s="4"/>
      <c r="AO704" s="4"/>
      <c r="AP704" s="4"/>
      <c r="AQ704" s="4"/>
      <c r="AR704" s="4"/>
      <c r="AS704" s="4"/>
      <c r="AT704" s="4"/>
      <c r="AU704" s="4"/>
      <c r="AV704" s="4"/>
      <c r="AX704" s="4"/>
    </row>
    <row r="705" spans="1:50" ht="12.75" customHeight="1" x14ac:dyDescent="0.2">
      <c r="A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N705" s="4"/>
      <c r="AO705" s="4"/>
      <c r="AP705" s="4"/>
      <c r="AQ705" s="4"/>
      <c r="AR705" s="4"/>
      <c r="AS705" s="4"/>
      <c r="AT705" s="4"/>
      <c r="AU705" s="4"/>
      <c r="AV705" s="4"/>
      <c r="AX705" s="4"/>
    </row>
    <row r="706" spans="1:50" ht="12.75" customHeight="1" x14ac:dyDescent="0.2">
      <c r="A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N706" s="4"/>
      <c r="AO706" s="4"/>
      <c r="AP706" s="4"/>
      <c r="AQ706" s="4"/>
      <c r="AR706" s="4"/>
      <c r="AS706" s="4"/>
      <c r="AT706" s="4"/>
      <c r="AU706" s="4"/>
      <c r="AV706" s="4"/>
      <c r="AX706" s="4"/>
    </row>
    <row r="707" spans="1:50" ht="12.75" customHeight="1" x14ac:dyDescent="0.2">
      <c r="A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N707" s="4"/>
      <c r="AO707" s="4"/>
      <c r="AP707" s="4"/>
      <c r="AQ707" s="4"/>
      <c r="AR707" s="4"/>
      <c r="AS707" s="4"/>
      <c r="AT707" s="4"/>
      <c r="AU707" s="4"/>
      <c r="AV707" s="4"/>
      <c r="AX707" s="4"/>
    </row>
    <row r="708" spans="1:50" ht="12.75" customHeight="1" x14ac:dyDescent="0.2">
      <c r="A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N708" s="4"/>
      <c r="AO708" s="4"/>
      <c r="AP708" s="4"/>
      <c r="AQ708" s="4"/>
      <c r="AR708" s="4"/>
      <c r="AS708" s="4"/>
      <c r="AT708" s="4"/>
      <c r="AU708" s="4"/>
      <c r="AV708" s="4"/>
      <c r="AX708" s="4"/>
    </row>
    <row r="709" spans="1:50" ht="12.75" customHeight="1" x14ac:dyDescent="0.2">
      <c r="A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N709" s="4"/>
      <c r="AO709" s="4"/>
      <c r="AP709" s="4"/>
      <c r="AQ709" s="4"/>
      <c r="AR709" s="4"/>
      <c r="AS709" s="4"/>
      <c r="AT709" s="4"/>
      <c r="AU709" s="4"/>
      <c r="AV709" s="4"/>
      <c r="AX709" s="4"/>
    </row>
    <row r="710" spans="1:50" ht="12.75" customHeight="1" x14ac:dyDescent="0.2">
      <c r="A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N710" s="4"/>
      <c r="AO710" s="4"/>
      <c r="AP710" s="4"/>
      <c r="AQ710" s="4"/>
      <c r="AR710" s="4"/>
      <c r="AS710" s="4"/>
      <c r="AT710" s="4"/>
      <c r="AU710" s="4"/>
      <c r="AV710" s="4"/>
      <c r="AX710" s="4"/>
    </row>
    <row r="711" spans="1:50" ht="12.75" customHeight="1" x14ac:dyDescent="0.2">
      <c r="A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N711" s="4"/>
      <c r="AO711" s="4"/>
      <c r="AP711" s="4"/>
      <c r="AQ711" s="4"/>
      <c r="AR711" s="4"/>
      <c r="AS711" s="4"/>
      <c r="AT711" s="4"/>
      <c r="AU711" s="4"/>
      <c r="AV711" s="4"/>
      <c r="AX711" s="4"/>
    </row>
    <row r="712" spans="1:50" ht="12.75" customHeight="1" x14ac:dyDescent="0.2">
      <c r="A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N712" s="4"/>
      <c r="AO712" s="4"/>
      <c r="AP712" s="4"/>
      <c r="AQ712" s="4"/>
      <c r="AR712" s="4"/>
      <c r="AS712" s="4"/>
      <c r="AT712" s="4"/>
      <c r="AU712" s="4"/>
      <c r="AV712" s="4"/>
      <c r="AX712" s="4"/>
    </row>
    <row r="713" spans="1:50" ht="12.75" customHeight="1" x14ac:dyDescent="0.2">
      <c r="A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N713" s="4"/>
      <c r="AO713" s="4"/>
      <c r="AP713" s="4"/>
      <c r="AQ713" s="4"/>
      <c r="AR713" s="4"/>
      <c r="AS713" s="4"/>
      <c r="AT713" s="4"/>
      <c r="AU713" s="4"/>
      <c r="AV713" s="4"/>
      <c r="AX713" s="4"/>
    </row>
    <row r="714" spans="1:50" ht="12.75" customHeight="1" x14ac:dyDescent="0.2">
      <c r="A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N714" s="4"/>
      <c r="AO714" s="4"/>
      <c r="AP714" s="4"/>
      <c r="AQ714" s="4"/>
      <c r="AR714" s="4"/>
      <c r="AS714" s="4"/>
      <c r="AT714" s="4"/>
      <c r="AU714" s="4"/>
      <c r="AV714" s="4"/>
      <c r="AX714" s="4"/>
    </row>
    <row r="715" spans="1:50" ht="12.75" customHeight="1" x14ac:dyDescent="0.2">
      <c r="A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N715" s="4"/>
      <c r="AO715" s="4"/>
      <c r="AP715" s="4"/>
      <c r="AQ715" s="4"/>
      <c r="AR715" s="4"/>
      <c r="AS715" s="4"/>
      <c r="AT715" s="4"/>
      <c r="AU715" s="4"/>
      <c r="AV715" s="4"/>
      <c r="AX715" s="4"/>
    </row>
    <row r="716" spans="1:50" ht="12.75" customHeight="1" x14ac:dyDescent="0.2">
      <c r="A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N716" s="4"/>
      <c r="AO716" s="4"/>
      <c r="AP716" s="4"/>
      <c r="AQ716" s="4"/>
      <c r="AR716" s="4"/>
      <c r="AS716" s="4"/>
      <c r="AT716" s="4"/>
      <c r="AU716" s="4"/>
      <c r="AV716" s="4"/>
      <c r="AX716" s="4"/>
    </row>
    <row r="717" spans="1:50" ht="12.75" customHeight="1" x14ac:dyDescent="0.2">
      <c r="A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N717" s="4"/>
      <c r="AO717" s="4"/>
      <c r="AP717" s="4"/>
      <c r="AQ717" s="4"/>
      <c r="AR717" s="4"/>
      <c r="AS717" s="4"/>
      <c r="AT717" s="4"/>
      <c r="AU717" s="4"/>
      <c r="AV717" s="4"/>
      <c r="AX717" s="4"/>
    </row>
    <row r="718" spans="1:50" ht="12.75" customHeight="1" x14ac:dyDescent="0.2">
      <c r="A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N718" s="4"/>
      <c r="AO718" s="4"/>
      <c r="AP718" s="4"/>
      <c r="AQ718" s="4"/>
      <c r="AR718" s="4"/>
      <c r="AS718" s="4"/>
      <c r="AT718" s="4"/>
      <c r="AU718" s="4"/>
      <c r="AV718" s="4"/>
      <c r="AX718" s="4"/>
    </row>
    <row r="719" spans="1:50" ht="12.75" customHeight="1" x14ac:dyDescent="0.2">
      <c r="A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N719" s="4"/>
      <c r="AO719" s="4"/>
      <c r="AP719" s="4"/>
      <c r="AQ719" s="4"/>
      <c r="AR719" s="4"/>
      <c r="AS719" s="4"/>
      <c r="AT719" s="4"/>
      <c r="AU719" s="4"/>
      <c r="AV719" s="4"/>
      <c r="AX719" s="4"/>
    </row>
    <row r="720" spans="1:50" ht="12.75" customHeight="1" x14ac:dyDescent="0.2">
      <c r="A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N720" s="4"/>
      <c r="AO720" s="4"/>
      <c r="AP720" s="4"/>
      <c r="AQ720" s="4"/>
      <c r="AR720" s="4"/>
      <c r="AS720" s="4"/>
      <c r="AT720" s="4"/>
      <c r="AU720" s="4"/>
      <c r="AV720" s="4"/>
      <c r="AX720" s="4"/>
    </row>
    <row r="721" spans="1:50" ht="12.75" customHeight="1" x14ac:dyDescent="0.2">
      <c r="A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N721" s="4"/>
      <c r="AO721" s="4"/>
      <c r="AP721" s="4"/>
      <c r="AQ721" s="4"/>
      <c r="AR721" s="4"/>
      <c r="AS721" s="4"/>
      <c r="AT721" s="4"/>
      <c r="AU721" s="4"/>
      <c r="AV721" s="4"/>
      <c r="AX721" s="4"/>
    </row>
    <row r="722" spans="1:50" ht="12.75" customHeight="1" x14ac:dyDescent="0.2">
      <c r="A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N722" s="4"/>
      <c r="AO722" s="4"/>
      <c r="AP722" s="4"/>
      <c r="AQ722" s="4"/>
      <c r="AR722" s="4"/>
      <c r="AS722" s="4"/>
      <c r="AT722" s="4"/>
      <c r="AU722" s="4"/>
      <c r="AV722" s="4"/>
      <c r="AX722" s="4"/>
    </row>
    <row r="723" spans="1:50" ht="12.75" customHeight="1" x14ac:dyDescent="0.2">
      <c r="A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N723" s="4"/>
      <c r="AO723" s="4"/>
      <c r="AP723" s="4"/>
      <c r="AQ723" s="4"/>
      <c r="AR723" s="4"/>
      <c r="AS723" s="4"/>
      <c r="AT723" s="4"/>
      <c r="AU723" s="4"/>
      <c r="AV723" s="4"/>
      <c r="AX723" s="4"/>
    </row>
    <row r="724" spans="1:50" ht="12.75" customHeight="1" x14ac:dyDescent="0.2">
      <c r="A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N724" s="4"/>
      <c r="AO724" s="4"/>
      <c r="AP724" s="4"/>
      <c r="AQ724" s="4"/>
      <c r="AR724" s="4"/>
      <c r="AS724" s="4"/>
      <c r="AT724" s="4"/>
      <c r="AU724" s="4"/>
      <c r="AV724" s="4"/>
      <c r="AX724" s="4"/>
    </row>
    <row r="725" spans="1:50" ht="12.75" customHeight="1" x14ac:dyDescent="0.2">
      <c r="A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N725" s="4"/>
      <c r="AO725" s="4"/>
      <c r="AP725" s="4"/>
      <c r="AQ725" s="4"/>
      <c r="AR725" s="4"/>
      <c r="AS725" s="4"/>
      <c r="AT725" s="4"/>
      <c r="AU725" s="4"/>
      <c r="AV725" s="4"/>
      <c r="AX725" s="4"/>
    </row>
    <row r="726" spans="1:50" ht="12.75" customHeight="1" x14ac:dyDescent="0.2">
      <c r="A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N726" s="4"/>
      <c r="AO726" s="4"/>
      <c r="AP726" s="4"/>
      <c r="AQ726" s="4"/>
      <c r="AR726" s="4"/>
      <c r="AS726" s="4"/>
      <c r="AT726" s="4"/>
      <c r="AU726" s="4"/>
      <c r="AV726" s="4"/>
      <c r="AX726" s="4"/>
    </row>
    <row r="727" spans="1:50" ht="12.75" customHeight="1" x14ac:dyDescent="0.2">
      <c r="A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N727" s="4"/>
      <c r="AO727" s="4"/>
      <c r="AP727" s="4"/>
      <c r="AQ727" s="4"/>
      <c r="AR727" s="4"/>
      <c r="AS727" s="4"/>
      <c r="AT727" s="4"/>
      <c r="AU727" s="4"/>
      <c r="AV727" s="4"/>
      <c r="AX727" s="4"/>
    </row>
    <row r="728" spans="1:50" ht="12.75" customHeight="1" x14ac:dyDescent="0.2">
      <c r="A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N728" s="4"/>
      <c r="AO728" s="4"/>
      <c r="AP728" s="4"/>
      <c r="AQ728" s="4"/>
      <c r="AR728" s="4"/>
      <c r="AS728" s="4"/>
      <c r="AT728" s="4"/>
      <c r="AU728" s="4"/>
      <c r="AV728" s="4"/>
      <c r="AX728" s="4"/>
    </row>
    <row r="729" spans="1:50" ht="12.75" customHeight="1" x14ac:dyDescent="0.2">
      <c r="A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N729" s="4"/>
      <c r="AO729" s="4"/>
      <c r="AP729" s="4"/>
      <c r="AQ729" s="4"/>
      <c r="AR729" s="4"/>
      <c r="AS729" s="4"/>
      <c r="AT729" s="4"/>
      <c r="AU729" s="4"/>
      <c r="AV729" s="4"/>
      <c r="AX729" s="4"/>
    </row>
    <row r="730" spans="1:50" ht="12.75" customHeight="1" x14ac:dyDescent="0.2">
      <c r="A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N730" s="4"/>
      <c r="AO730" s="4"/>
      <c r="AP730" s="4"/>
      <c r="AQ730" s="4"/>
      <c r="AR730" s="4"/>
      <c r="AS730" s="4"/>
      <c r="AT730" s="4"/>
      <c r="AU730" s="4"/>
      <c r="AV730" s="4"/>
      <c r="AX730" s="4"/>
    </row>
    <row r="731" spans="1:50" ht="12.75" customHeight="1" x14ac:dyDescent="0.2">
      <c r="A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N731" s="4"/>
      <c r="AO731" s="4"/>
      <c r="AP731" s="4"/>
      <c r="AQ731" s="4"/>
      <c r="AR731" s="4"/>
      <c r="AS731" s="4"/>
      <c r="AT731" s="4"/>
      <c r="AU731" s="4"/>
      <c r="AV731" s="4"/>
      <c r="AX731" s="4"/>
    </row>
    <row r="732" spans="1:50" ht="12.75" customHeight="1" x14ac:dyDescent="0.2">
      <c r="A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N732" s="4"/>
      <c r="AO732" s="4"/>
      <c r="AP732" s="4"/>
      <c r="AQ732" s="4"/>
      <c r="AR732" s="4"/>
      <c r="AS732" s="4"/>
      <c r="AT732" s="4"/>
      <c r="AU732" s="4"/>
      <c r="AV732" s="4"/>
      <c r="AX732" s="4"/>
    </row>
    <row r="733" spans="1:50" ht="12.75" customHeight="1" x14ac:dyDescent="0.2">
      <c r="A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N733" s="4"/>
      <c r="AO733" s="4"/>
      <c r="AP733" s="4"/>
      <c r="AQ733" s="4"/>
      <c r="AR733" s="4"/>
      <c r="AS733" s="4"/>
      <c r="AT733" s="4"/>
      <c r="AU733" s="4"/>
      <c r="AV733" s="4"/>
      <c r="AX733" s="4"/>
    </row>
    <row r="734" spans="1:50" ht="12.75" customHeight="1" x14ac:dyDescent="0.2">
      <c r="A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N734" s="4"/>
      <c r="AO734" s="4"/>
      <c r="AP734" s="4"/>
      <c r="AQ734" s="4"/>
      <c r="AR734" s="4"/>
      <c r="AS734" s="4"/>
      <c r="AT734" s="4"/>
      <c r="AU734" s="4"/>
      <c r="AV734" s="4"/>
      <c r="AX734" s="4"/>
    </row>
    <row r="735" spans="1:50" ht="12.75" customHeight="1" x14ac:dyDescent="0.2">
      <c r="A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N735" s="4"/>
      <c r="AO735" s="4"/>
      <c r="AP735" s="4"/>
      <c r="AQ735" s="4"/>
      <c r="AR735" s="4"/>
      <c r="AS735" s="4"/>
      <c r="AT735" s="4"/>
      <c r="AU735" s="4"/>
      <c r="AV735" s="4"/>
      <c r="AX735" s="4"/>
    </row>
    <row r="736" spans="1:50" ht="12.75" customHeight="1" x14ac:dyDescent="0.2">
      <c r="A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N736" s="4"/>
      <c r="AO736" s="4"/>
      <c r="AP736" s="4"/>
      <c r="AQ736" s="4"/>
      <c r="AR736" s="4"/>
      <c r="AS736" s="4"/>
      <c r="AT736" s="4"/>
      <c r="AU736" s="4"/>
      <c r="AV736" s="4"/>
      <c r="AX736" s="4"/>
    </row>
    <row r="737" spans="1:50" ht="12.75" customHeight="1" x14ac:dyDescent="0.2">
      <c r="A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N737" s="4"/>
      <c r="AO737" s="4"/>
      <c r="AP737" s="4"/>
      <c r="AQ737" s="4"/>
      <c r="AR737" s="4"/>
      <c r="AS737" s="4"/>
      <c r="AT737" s="4"/>
      <c r="AU737" s="4"/>
      <c r="AV737" s="4"/>
      <c r="AX737" s="4"/>
    </row>
    <row r="738" spans="1:50" ht="12.75" customHeight="1" x14ac:dyDescent="0.2">
      <c r="A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N738" s="4"/>
      <c r="AO738" s="4"/>
      <c r="AP738" s="4"/>
      <c r="AQ738" s="4"/>
      <c r="AR738" s="4"/>
      <c r="AS738" s="4"/>
      <c r="AT738" s="4"/>
      <c r="AU738" s="4"/>
      <c r="AV738" s="4"/>
      <c r="AX738" s="4"/>
    </row>
    <row r="739" spans="1:50" ht="12.75" customHeight="1" x14ac:dyDescent="0.2">
      <c r="A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N739" s="4"/>
      <c r="AO739" s="4"/>
      <c r="AP739" s="4"/>
      <c r="AQ739" s="4"/>
      <c r="AR739" s="4"/>
      <c r="AS739" s="4"/>
      <c r="AT739" s="4"/>
      <c r="AU739" s="4"/>
      <c r="AV739" s="4"/>
      <c r="AX739" s="4"/>
    </row>
    <row r="740" spans="1:50" ht="12.75" customHeight="1" x14ac:dyDescent="0.2">
      <c r="A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N740" s="4"/>
      <c r="AO740" s="4"/>
      <c r="AP740" s="4"/>
      <c r="AQ740" s="4"/>
      <c r="AR740" s="4"/>
      <c r="AS740" s="4"/>
      <c r="AT740" s="4"/>
      <c r="AU740" s="4"/>
      <c r="AV740" s="4"/>
      <c r="AX740" s="4"/>
    </row>
    <row r="741" spans="1:50" ht="12.75" customHeight="1" x14ac:dyDescent="0.2">
      <c r="A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N741" s="4"/>
      <c r="AO741" s="4"/>
      <c r="AP741" s="4"/>
      <c r="AQ741" s="4"/>
      <c r="AR741" s="4"/>
      <c r="AS741" s="4"/>
      <c r="AT741" s="4"/>
      <c r="AU741" s="4"/>
      <c r="AV741" s="4"/>
      <c r="AX741" s="4"/>
    </row>
    <row r="742" spans="1:50" ht="12.75" customHeight="1" x14ac:dyDescent="0.2">
      <c r="A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N742" s="4"/>
      <c r="AO742" s="4"/>
      <c r="AP742" s="4"/>
      <c r="AQ742" s="4"/>
      <c r="AR742" s="4"/>
      <c r="AS742" s="4"/>
      <c r="AT742" s="4"/>
      <c r="AU742" s="4"/>
      <c r="AV742" s="4"/>
      <c r="AX742" s="4"/>
    </row>
    <row r="743" spans="1:50" ht="12.75" customHeight="1" x14ac:dyDescent="0.2">
      <c r="A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N743" s="4"/>
      <c r="AO743" s="4"/>
      <c r="AP743" s="4"/>
      <c r="AQ743" s="4"/>
      <c r="AR743" s="4"/>
      <c r="AS743" s="4"/>
      <c r="AT743" s="4"/>
      <c r="AU743" s="4"/>
      <c r="AV743" s="4"/>
      <c r="AX743" s="4"/>
    </row>
    <row r="744" spans="1:50" ht="12.75" customHeight="1" x14ac:dyDescent="0.2">
      <c r="A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N744" s="4"/>
      <c r="AO744" s="4"/>
      <c r="AP744" s="4"/>
      <c r="AQ744" s="4"/>
      <c r="AR744" s="4"/>
      <c r="AS744" s="4"/>
      <c r="AT744" s="4"/>
      <c r="AU744" s="4"/>
      <c r="AV744" s="4"/>
      <c r="AX744" s="4"/>
    </row>
    <row r="745" spans="1:50" ht="12.75" customHeight="1" x14ac:dyDescent="0.2">
      <c r="A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N745" s="4"/>
      <c r="AO745" s="4"/>
      <c r="AP745" s="4"/>
      <c r="AQ745" s="4"/>
      <c r="AR745" s="4"/>
      <c r="AS745" s="4"/>
      <c r="AT745" s="4"/>
      <c r="AU745" s="4"/>
      <c r="AV745" s="4"/>
      <c r="AX745" s="4"/>
    </row>
    <row r="746" spans="1:50" ht="12.75" customHeight="1" x14ac:dyDescent="0.2">
      <c r="A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N746" s="4"/>
      <c r="AO746" s="4"/>
      <c r="AP746" s="4"/>
      <c r="AQ746" s="4"/>
      <c r="AR746" s="4"/>
      <c r="AS746" s="4"/>
      <c r="AT746" s="4"/>
      <c r="AU746" s="4"/>
      <c r="AV746" s="4"/>
      <c r="AX746" s="4"/>
    </row>
    <row r="747" spans="1:50" ht="12.75" customHeight="1" x14ac:dyDescent="0.2">
      <c r="A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N747" s="4"/>
      <c r="AO747" s="4"/>
      <c r="AP747" s="4"/>
      <c r="AQ747" s="4"/>
      <c r="AR747" s="4"/>
      <c r="AS747" s="4"/>
      <c r="AT747" s="4"/>
      <c r="AU747" s="4"/>
      <c r="AV747" s="4"/>
      <c r="AX747" s="4"/>
    </row>
    <row r="748" spans="1:50" ht="12.75" customHeight="1" x14ac:dyDescent="0.2">
      <c r="A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N748" s="4"/>
      <c r="AO748" s="4"/>
      <c r="AP748" s="4"/>
      <c r="AQ748" s="4"/>
      <c r="AR748" s="4"/>
      <c r="AS748" s="4"/>
      <c r="AT748" s="4"/>
      <c r="AU748" s="4"/>
      <c r="AV748" s="4"/>
      <c r="AX748" s="4"/>
    </row>
    <row r="749" spans="1:50" ht="12.75" customHeight="1" x14ac:dyDescent="0.2">
      <c r="A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N749" s="4"/>
      <c r="AO749" s="4"/>
      <c r="AP749" s="4"/>
      <c r="AQ749" s="4"/>
      <c r="AR749" s="4"/>
      <c r="AS749" s="4"/>
      <c r="AT749" s="4"/>
      <c r="AU749" s="4"/>
      <c r="AV749" s="4"/>
      <c r="AX749" s="4"/>
    </row>
    <row r="750" spans="1:50" ht="12.75" customHeight="1" x14ac:dyDescent="0.2">
      <c r="A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N750" s="4"/>
      <c r="AO750" s="4"/>
      <c r="AP750" s="4"/>
      <c r="AQ750" s="4"/>
      <c r="AR750" s="4"/>
      <c r="AS750" s="4"/>
      <c r="AT750" s="4"/>
      <c r="AU750" s="4"/>
      <c r="AV750" s="4"/>
      <c r="AX750" s="4"/>
    </row>
    <row r="751" spans="1:50" ht="12.75" customHeight="1" x14ac:dyDescent="0.2">
      <c r="A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N751" s="4"/>
      <c r="AO751" s="4"/>
      <c r="AP751" s="4"/>
      <c r="AQ751" s="4"/>
      <c r="AR751" s="4"/>
      <c r="AS751" s="4"/>
      <c r="AT751" s="4"/>
      <c r="AU751" s="4"/>
      <c r="AV751" s="4"/>
      <c r="AX751" s="4"/>
    </row>
    <row r="752" spans="1:50" ht="12.75" customHeight="1" x14ac:dyDescent="0.2">
      <c r="A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N752" s="4"/>
      <c r="AO752" s="4"/>
      <c r="AP752" s="4"/>
      <c r="AQ752" s="4"/>
      <c r="AR752" s="4"/>
      <c r="AS752" s="4"/>
      <c r="AT752" s="4"/>
      <c r="AU752" s="4"/>
      <c r="AV752" s="4"/>
      <c r="AX752" s="4"/>
    </row>
    <row r="753" spans="1:50" ht="12.75" customHeight="1" x14ac:dyDescent="0.2">
      <c r="A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N753" s="4"/>
      <c r="AO753" s="4"/>
      <c r="AP753" s="4"/>
      <c r="AQ753" s="4"/>
      <c r="AR753" s="4"/>
      <c r="AS753" s="4"/>
      <c r="AT753" s="4"/>
      <c r="AU753" s="4"/>
      <c r="AV753" s="4"/>
      <c r="AX753" s="4"/>
    </row>
    <row r="754" spans="1:50" ht="12.75" customHeight="1" x14ac:dyDescent="0.2">
      <c r="A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N754" s="4"/>
      <c r="AO754" s="4"/>
      <c r="AP754" s="4"/>
      <c r="AQ754" s="4"/>
      <c r="AR754" s="4"/>
      <c r="AS754" s="4"/>
      <c r="AT754" s="4"/>
      <c r="AU754" s="4"/>
      <c r="AV754" s="4"/>
      <c r="AX754" s="4"/>
    </row>
    <row r="755" spans="1:50" ht="12.75" customHeight="1" x14ac:dyDescent="0.2">
      <c r="A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N755" s="4"/>
      <c r="AO755" s="4"/>
      <c r="AP755" s="4"/>
      <c r="AQ755" s="4"/>
      <c r="AR755" s="4"/>
      <c r="AS755" s="4"/>
      <c r="AT755" s="4"/>
      <c r="AU755" s="4"/>
      <c r="AV755" s="4"/>
      <c r="AX755" s="4"/>
    </row>
    <row r="756" spans="1:50" ht="12.75" customHeight="1" x14ac:dyDescent="0.2">
      <c r="A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N756" s="4"/>
      <c r="AO756" s="4"/>
      <c r="AP756" s="4"/>
      <c r="AQ756" s="4"/>
      <c r="AR756" s="4"/>
      <c r="AS756" s="4"/>
      <c r="AT756" s="4"/>
      <c r="AU756" s="4"/>
      <c r="AV756" s="4"/>
      <c r="AX756" s="4"/>
    </row>
    <row r="757" spans="1:50" ht="12.75" customHeight="1" x14ac:dyDescent="0.2">
      <c r="A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N757" s="4"/>
      <c r="AO757" s="4"/>
      <c r="AP757" s="4"/>
      <c r="AQ757" s="4"/>
      <c r="AR757" s="4"/>
      <c r="AS757" s="4"/>
      <c r="AT757" s="4"/>
      <c r="AU757" s="4"/>
      <c r="AV757" s="4"/>
      <c r="AX757" s="4"/>
    </row>
    <row r="758" spans="1:50" ht="12.75" customHeight="1" x14ac:dyDescent="0.2">
      <c r="A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N758" s="4"/>
      <c r="AO758" s="4"/>
      <c r="AP758" s="4"/>
      <c r="AQ758" s="4"/>
      <c r="AR758" s="4"/>
      <c r="AS758" s="4"/>
      <c r="AT758" s="4"/>
      <c r="AU758" s="4"/>
      <c r="AV758" s="4"/>
      <c r="AX758" s="4"/>
    </row>
    <row r="759" spans="1:50" ht="12.75" customHeight="1" x14ac:dyDescent="0.2">
      <c r="A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N759" s="4"/>
      <c r="AO759" s="4"/>
      <c r="AP759" s="4"/>
      <c r="AQ759" s="4"/>
      <c r="AR759" s="4"/>
      <c r="AS759" s="4"/>
      <c r="AT759" s="4"/>
      <c r="AU759" s="4"/>
      <c r="AV759" s="4"/>
      <c r="AX759" s="4"/>
    </row>
    <row r="760" spans="1:50" ht="12.75" customHeight="1" x14ac:dyDescent="0.2">
      <c r="A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N760" s="4"/>
      <c r="AO760" s="4"/>
      <c r="AP760" s="4"/>
      <c r="AQ760" s="4"/>
      <c r="AR760" s="4"/>
      <c r="AS760" s="4"/>
      <c r="AT760" s="4"/>
      <c r="AU760" s="4"/>
      <c r="AV760" s="4"/>
      <c r="AX760" s="4"/>
    </row>
    <row r="761" spans="1:50" ht="12.75" customHeight="1" x14ac:dyDescent="0.2">
      <c r="A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N761" s="4"/>
      <c r="AO761" s="4"/>
      <c r="AP761" s="4"/>
      <c r="AQ761" s="4"/>
      <c r="AR761" s="4"/>
      <c r="AS761" s="4"/>
      <c r="AT761" s="4"/>
      <c r="AU761" s="4"/>
      <c r="AV761" s="4"/>
      <c r="AX761" s="4"/>
    </row>
    <row r="762" spans="1:50" ht="12.75" customHeight="1" x14ac:dyDescent="0.2">
      <c r="A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N762" s="4"/>
      <c r="AO762" s="4"/>
      <c r="AP762" s="4"/>
      <c r="AQ762" s="4"/>
      <c r="AR762" s="4"/>
      <c r="AS762" s="4"/>
      <c r="AT762" s="4"/>
      <c r="AU762" s="4"/>
      <c r="AV762" s="4"/>
      <c r="AX762" s="4"/>
    </row>
    <row r="763" spans="1:50" ht="12.75" customHeight="1" x14ac:dyDescent="0.2">
      <c r="A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N763" s="4"/>
      <c r="AO763" s="4"/>
      <c r="AP763" s="4"/>
      <c r="AQ763" s="4"/>
      <c r="AR763" s="4"/>
      <c r="AS763" s="4"/>
      <c r="AT763" s="4"/>
      <c r="AU763" s="4"/>
      <c r="AV763" s="4"/>
      <c r="AX763" s="4"/>
    </row>
    <row r="764" spans="1:50" ht="12.75" customHeight="1" x14ac:dyDescent="0.2">
      <c r="A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N764" s="4"/>
      <c r="AO764" s="4"/>
      <c r="AP764" s="4"/>
      <c r="AQ764" s="4"/>
      <c r="AR764" s="4"/>
      <c r="AS764" s="4"/>
      <c r="AT764" s="4"/>
      <c r="AU764" s="4"/>
      <c r="AV764" s="4"/>
      <c r="AX764" s="4"/>
    </row>
    <row r="765" spans="1:50" ht="12.75" customHeight="1" x14ac:dyDescent="0.2">
      <c r="A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N765" s="4"/>
      <c r="AO765" s="4"/>
      <c r="AP765" s="4"/>
      <c r="AQ765" s="4"/>
      <c r="AR765" s="4"/>
      <c r="AS765" s="4"/>
      <c r="AT765" s="4"/>
      <c r="AU765" s="4"/>
      <c r="AV765" s="4"/>
      <c r="AX765" s="4"/>
    </row>
    <row r="766" spans="1:50" ht="12.75" customHeight="1" x14ac:dyDescent="0.2">
      <c r="A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N766" s="4"/>
      <c r="AO766" s="4"/>
      <c r="AP766" s="4"/>
      <c r="AQ766" s="4"/>
      <c r="AR766" s="4"/>
      <c r="AS766" s="4"/>
      <c r="AT766" s="4"/>
      <c r="AU766" s="4"/>
      <c r="AV766" s="4"/>
      <c r="AX766" s="4"/>
    </row>
    <row r="767" spans="1:50" ht="12.75" customHeight="1" x14ac:dyDescent="0.2">
      <c r="A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N767" s="4"/>
      <c r="AO767" s="4"/>
      <c r="AP767" s="4"/>
      <c r="AQ767" s="4"/>
      <c r="AR767" s="4"/>
      <c r="AS767" s="4"/>
      <c r="AT767" s="4"/>
      <c r="AU767" s="4"/>
      <c r="AV767" s="4"/>
      <c r="AX767" s="4"/>
    </row>
    <row r="768" spans="1:50" ht="12.75" customHeight="1" x14ac:dyDescent="0.2">
      <c r="A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N768" s="4"/>
      <c r="AO768" s="4"/>
      <c r="AP768" s="4"/>
      <c r="AQ768" s="4"/>
      <c r="AR768" s="4"/>
      <c r="AS768" s="4"/>
      <c r="AT768" s="4"/>
      <c r="AU768" s="4"/>
      <c r="AV768" s="4"/>
      <c r="AX768" s="4"/>
    </row>
    <row r="769" spans="1:50" ht="12.75" customHeight="1" x14ac:dyDescent="0.2">
      <c r="A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N769" s="4"/>
      <c r="AO769" s="4"/>
      <c r="AP769" s="4"/>
      <c r="AQ769" s="4"/>
      <c r="AR769" s="4"/>
      <c r="AS769" s="4"/>
      <c r="AT769" s="4"/>
      <c r="AU769" s="4"/>
      <c r="AV769" s="4"/>
      <c r="AX769" s="4"/>
    </row>
    <row r="770" spans="1:50" ht="12.75" customHeight="1" x14ac:dyDescent="0.2">
      <c r="A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N770" s="4"/>
      <c r="AO770" s="4"/>
      <c r="AP770" s="4"/>
      <c r="AQ770" s="4"/>
      <c r="AR770" s="4"/>
      <c r="AS770" s="4"/>
      <c r="AT770" s="4"/>
      <c r="AU770" s="4"/>
      <c r="AV770" s="4"/>
      <c r="AX770" s="4"/>
    </row>
    <row r="771" spans="1:50" ht="12.75" customHeight="1" x14ac:dyDescent="0.2">
      <c r="A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N771" s="4"/>
      <c r="AO771" s="4"/>
      <c r="AP771" s="4"/>
      <c r="AQ771" s="4"/>
      <c r="AR771" s="4"/>
      <c r="AS771" s="4"/>
      <c r="AT771" s="4"/>
      <c r="AU771" s="4"/>
      <c r="AV771" s="4"/>
      <c r="AX771" s="4"/>
    </row>
    <row r="772" spans="1:50" ht="12.75" customHeight="1" x14ac:dyDescent="0.2">
      <c r="A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N772" s="4"/>
      <c r="AO772" s="4"/>
      <c r="AP772" s="4"/>
      <c r="AQ772" s="4"/>
      <c r="AR772" s="4"/>
      <c r="AS772" s="4"/>
      <c r="AT772" s="4"/>
      <c r="AU772" s="4"/>
      <c r="AV772" s="4"/>
      <c r="AX772" s="4"/>
    </row>
    <row r="773" spans="1:50" ht="12.75" customHeight="1" x14ac:dyDescent="0.2">
      <c r="A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N773" s="4"/>
      <c r="AO773" s="4"/>
      <c r="AP773" s="4"/>
      <c r="AQ773" s="4"/>
      <c r="AR773" s="4"/>
      <c r="AS773" s="4"/>
      <c r="AT773" s="4"/>
      <c r="AU773" s="4"/>
      <c r="AV773" s="4"/>
      <c r="AX773" s="4"/>
    </row>
    <row r="774" spans="1:50" ht="12.75" customHeight="1" x14ac:dyDescent="0.2">
      <c r="A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N774" s="4"/>
      <c r="AO774" s="4"/>
      <c r="AP774" s="4"/>
      <c r="AQ774" s="4"/>
      <c r="AR774" s="4"/>
      <c r="AS774" s="4"/>
      <c r="AT774" s="4"/>
      <c r="AU774" s="4"/>
      <c r="AV774" s="4"/>
      <c r="AX774" s="4"/>
    </row>
    <row r="775" spans="1:50" ht="12.75" customHeight="1" x14ac:dyDescent="0.2">
      <c r="A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N775" s="4"/>
      <c r="AO775" s="4"/>
      <c r="AP775" s="4"/>
      <c r="AQ775" s="4"/>
      <c r="AR775" s="4"/>
      <c r="AS775" s="4"/>
      <c r="AT775" s="4"/>
      <c r="AU775" s="4"/>
      <c r="AV775" s="4"/>
      <c r="AX775" s="4"/>
    </row>
    <row r="776" spans="1:50" ht="12.75" customHeight="1" x14ac:dyDescent="0.2">
      <c r="A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N776" s="4"/>
      <c r="AO776" s="4"/>
      <c r="AP776" s="4"/>
      <c r="AQ776" s="4"/>
      <c r="AR776" s="4"/>
      <c r="AS776" s="4"/>
      <c r="AT776" s="4"/>
      <c r="AU776" s="4"/>
      <c r="AV776" s="4"/>
      <c r="AX776" s="4"/>
    </row>
    <row r="777" spans="1:50" ht="12.75" customHeight="1" x14ac:dyDescent="0.2">
      <c r="A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N777" s="4"/>
      <c r="AO777" s="4"/>
      <c r="AP777" s="4"/>
      <c r="AQ777" s="4"/>
      <c r="AR777" s="4"/>
      <c r="AS777" s="4"/>
      <c r="AT777" s="4"/>
      <c r="AU777" s="4"/>
      <c r="AV777" s="4"/>
      <c r="AX777" s="4"/>
    </row>
    <row r="778" spans="1:50" ht="12.75" customHeight="1" x14ac:dyDescent="0.2">
      <c r="A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N778" s="4"/>
      <c r="AO778" s="4"/>
      <c r="AP778" s="4"/>
      <c r="AQ778" s="4"/>
      <c r="AR778" s="4"/>
      <c r="AS778" s="4"/>
      <c r="AT778" s="4"/>
      <c r="AU778" s="4"/>
      <c r="AV778" s="4"/>
      <c r="AX778" s="4"/>
    </row>
    <row r="779" spans="1:50" ht="12.75" customHeight="1" x14ac:dyDescent="0.2">
      <c r="A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N779" s="4"/>
      <c r="AO779" s="4"/>
      <c r="AP779" s="4"/>
      <c r="AQ779" s="4"/>
      <c r="AR779" s="4"/>
      <c r="AS779" s="4"/>
      <c r="AT779" s="4"/>
      <c r="AU779" s="4"/>
      <c r="AV779" s="4"/>
      <c r="AX779" s="4"/>
    </row>
    <row r="780" spans="1:50" ht="12.75" customHeight="1" x14ac:dyDescent="0.2">
      <c r="A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N780" s="4"/>
      <c r="AO780" s="4"/>
      <c r="AP780" s="4"/>
      <c r="AQ780" s="4"/>
      <c r="AR780" s="4"/>
      <c r="AS780" s="4"/>
      <c r="AT780" s="4"/>
      <c r="AU780" s="4"/>
      <c r="AV780" s="4"/>
      <c r="AX780" s="4"/>
    </row>
    <row r="781" spans="1:50" ht="12.75" customHeight="1" x14ac:dyDescent="0.2">
      <c r="A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N781" s="4"/>
      <c r="AO781" s="4"/>
      <c r="AP781" s="4"/>
      <c r="AQ781" s="4"/>
      <c r="AR781" s="4"/>
      <c r="AS781" s="4"/>
      <c r="AT781" s="4"/>
      <c r="AU781" s="4"/>
      <c r="AV781" s="4"/>
      <c r="AX781" s="4"/>
    </row>
    <row r="782" spans="1:50" ht="12.75" customHeight="1" x14ac:dyDescent="0.2">
      <c r="A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N782" s="4"/>
      <c r="AO782" s="4"/>
      <c r="AP782" s="4"/>
      <c r="AQ782" s="4"/>
      <c r="AR782" s="4"/>
      <c r="AS782" s="4"/>
      <c r="AT782" s="4"/>
      <c r="AU782" s="4"/>
      <c r="AV782" s="4"/>
      <c r="AX782" s="4"/>
    </row>
    <row r="783" spans="1:50" ht="12.75" customHeight="1" x14ac:dyDescent="0.2">
      <c r="A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N783" s="4"/>
      <c r="AO783" s="4"/>
      <c r="AP783" s="4"/>
      <c r="AQ783" s="4"/>
      <c r="AR783" s="4"/>
      <c r="AS783" s="4"/>
      <c r="AT783" s="4"/>
      <c r="AU783" s="4"/>
      <c r="AV783" s="4"/>
      <c r="AX783" s="4"/>
    </row>
    <row r="784" spans="1:50" ht="12.75" customHeight="1" x14ac:dyDescent="0.2">
      <c r="A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N784" s="4"/>
      <c r="AO784" s="4"/>
      <c r="AP784" s="4"/>
      <c r="AQ784" s="4"/>
      <c r="AR784" s="4"/>
      <c r="AS784" s="4"/>
      <c r="AT784" s="4"/>
      <c r="AU784" s="4"/>
      <c r="AV784" s="4"/>
      <c r="AX784" s="4"/>
    </row>
    <row r="785" spans="1:50" ht="12.75" customHeight="1" x14ac:dyDescent="0.2">
      <c r="A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N785" s="4"/>
      <c r="AO785" s="4"/>
      <c r="AP785" s="4"/>
      <c r="AQ785" s="4"/>
      <c r="AR785" s="4"/>
      <c r="AS785" s="4"/>
      <c r="AT785" s="4"/>
      <c r="AU785" s="4"/>
      <c r="AV785" s="4"/>
      <c r="AX785" s="4"/>
    </row>
    <row r="786" spans="1:50" ht="12.75" customHeight="1" x14ac:dyDescent="0.2">
      <c r="A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N786" s="4"/>
      <c r="AO786" s="4"/>
      <c r="AP786" s="4"/>
      <c r="AQ786" s="4"/>
      <c r="AR786" s="4"/>
      <c r="AS786" s="4"/>
      <c r="AT786" s="4"/>
      <c r="AU786" s="4"/>
      <c r="AV786" s="4"/>
      <c r="AX786" s="4"/>
    </row>
    <row r="787" spans="1:50" ht="12.75" customHeight="1" x14ac:dyDescent="0.2">
      <c r="A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N787" s="4"/>
      <c r="AO787" s="4"/>
      <c r="AP787" s="4"/>
      <c r="AQ787" s="4"/>
      <c r="AR787" s="4"/>
      <c r="AS787" s="4"/>
      <c r="AT787" s="4"/>
      <c r="AU787" s="4"/>
      <c r="AV787" s="4"/>
      <c r="AX787" s="4"/>
    </row>
    <row r="788" spans="1:50" ht="12.75" customHeight="1" x14ac:dyDescent="0.2">
      <c r="A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N788" s="4"/>
      <c r="AO788" s="4"/>
      <c r="AP788" s="4"/>
      <c r="AQ788" s="4"/>
      <c r="AR788" s="4"/>
      <c r="AS788" s="4"/>
      <c r="AT788" s="4"/>
      <c r="AU788" s="4"/>
      <c r="AV788" s="4"/>
      <c r="AX788" s="4"/>
    </row>
    <row r="789" spans="1:50" ht="12.75" customHeight="1" x14ac:dyDescent="0.2">
      <c r="A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N789" s="4"/>
      <c r="AO789" s="4"/>
      <c r="AP789" s="4"/>
      <c r="AQ789" s="4"/>
      <c r="AR789" s="4"/>
      <c r="AS789" s="4"/>
      <c r="AT789" s="4"/>
      <c r="AU789" s="4"/>
      <c r="AV789" s="4"/>
      <c r="AX789" s="4"/>
    </row>
    <row r="790" spans="1:50" ht="12.75" customHeight="1" x14ac:dyDescent="0.2">
      <c r="A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N790" s="4"/>
      <c r="AO790" s="4"/>
      <c r="AP790" s="4"/>
      <c r="AQ790" s="4"/>
      <c r="AR790" s="4"/>
      <c r="AS790" s="4"/>
      <c r="AT790" s="4"/>
      <c r="AU790" s="4"/>
      <c r="AV790" s="4"/>
      <c r="AX790" s="4"/>
    </row>
    <row r="791" spans="1:50" ht="12.75" customHeight="1" x14ac:dyDescent="0.2">
      <c r="A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N791" s="4"/>
      <c r="AO791" s="4"/>
      <c r="AP791" s="4"/>
      <c r="AQ791" s="4"/>
      <c r="AR791" s="4"/>
      <c r="AS791" s="4"/>
      <c r="AT791" s="4"/>
      <c r="AU791" s="4"/>
      <c r="AV791" s="4"/>
      <c r="AX791" s="4"/>
    </row>
    <row r="792" spans="1:50" ht="12.75" customHeight="1" x14ac:dyDescent="0.2">
      <c r="A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N792" s="4"/>
      <c r="AO792" s="4"/>
      <c r="AP792" s="4"/>
      <c r="AQ792" s="4"/>
      <c r="AR792" s="4"/>
      <c r="AS792" s="4"/>
      <c r="AT792" s="4"/>
      <c r="AU792" s="4"/>
      <c r="AV792" s="4"/>
      <c r="AX792" s="4"/>
    </row>
    <row r="793" spans="1:50" ht="12.75" customHeight="1" x14ac:dyDescent="0.2">
      <c r="A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N793" s="4"/>
      <c r="AO793" s="4"/>
      <c r="AP793" s="4"/>
      <c r="AQ793" s="4"/>
      <c r="AR793" s="4"/>
      <c r="AS793" s="4"/>
      <c r="AT793" s="4"/>
      <c r="AU793" s="4"/>
      <c r="AV793" s="4"/>
      <c r="AX793" s="4"/>
    </row>
    <row r="794" spans="1:50" ht="12.75" customHeight="1" x14ac:dyDescent="0.2">
      <c r="A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N794" s="4"/>
      <c r="AO794" s="4"/>
      <c r="AP794" s="4"/>
      <c r="AQ794" s="4"/>
      <c r="AR794" s="4"/>
      <c r="AS794" s="4"/>
      <c r="AT794" s="4"/>
      <c r="AU794" s="4"/>
      <c r="AV794" s="4"/>
      <c r="AX794" s="4"/>
    </row>
    <row r="795" spans="1:50" ht="12.75" customHeight="1" x14ac:dyDescent="0.2">
      <c r="A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N795" s="4"/>
      <c r="AO795" s="4"/>
      <c r="AP795" s="4"/>
      <c r="AQ795" s="4"/>
      <c r="AR795" s="4"/>
      <c r="AS795" s="4"/>
      <c r="AT795" s="4"/>
      <c r="AU795" s="4"/>
      <c r="AV795" s="4"/>
      <c r="AX795" s="4"/>
    </row>
    <row r="796" spans="1:50" ht="12.75" customHeight="1" x14ac:dyDescent="0.2">
      <c r="A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N796" s="4"/>
      <c r="AO796" s="4"/>
      <c r="AP796" s="4"/>
      <c r="AQ796" s="4"/>
      <c r="AR796" s="4"/>
      <c r="AS796" s="4"/>
      <c r="AT796" s="4"/>
      <c r="AU796" s="4"/>
      <c r="AV796" s="4"/>
      <c r="AX796" s="4"/>
    </row>
    <row r="797" spans="1:50" ht="12.75" customHeight="1" x14ac:dyDescent="0.2">
      <c r="A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N797" s="4"/>
      <c r="AO797" s="4"/>
      <c r="AP797" s="4"/>
      <c r="AQ797" s="4"/>
      <c r="AR797" s="4"/>
      <c r="AS797" s="4"/>
      <c r="AT797" s="4"/>
      <c r="AU797" s="4"/>
      <c r="AV797" s="4"/>
      <c r="AX797" s="4"/>
    </row>
    <row r="798" spans="1:50" ht="12.75" customHeight="1" x14ac:dyDescent="0.2">
      <c r="A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N798" s="4"/>
      <c r="AO798" s="4"/>
      <c r="AP798" s="4"/>
      <c r="AQ798" s="4"/>
      <c r="AR798" s="4"/>
      <c r="AS798" s="4"/>
      <c r="AT798" s="4"/>
      <c r="AU798" s="4"/>
      <c r="AV798" s="4"/>
      <c r="AX798" s="4"/>
    </row>
    <row r="799" spans="1:50" ht="12.75" customHeight="1" x14ac:dyDescent="0.2">
      <c r="A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N799" s="4"/>
      <c r="AO799" s="4"/>
      <c r="AP799" s="4"/>
      <c r="AQ799" s="4"/>
      <c r="AR799" s="4"/>
      <c r="AS799" s="4"/>
      <c r="AT799" s="4"/>
      <c r="AU799" s="4"/>
      <c r="AV799" s="4"/>
      <c r="AX799" s="4"/>
    </row>
    <row r="800" spans="1:50" ht="12.75" customHeight="1" x14ac:dyDescent="0.2">
      <c r="A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N800" s="4"/>
      <c r="AO800" s="4"/>
      <c r="AP800" s="4"/>
      <c r="AQ800" s="4"/>
      <c r="AR800" s="4"/>
      <c r="AS800" s="4"/>
      <c r="AT800" s="4"/>
      <c r="AU800" s="4"/>
      <c r="AV800" s="4"/>
      <c r="AX800" s="4"/>
    </row>
    <row r="801" spans="1:50" ht="12.75" customHeight="1" x14ac:dyDescent="0.2">
      <c r="A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N801" s="4"/>
      <c r="AO801" s="4"/>
      <c r="AP801" s="4"/>
      <c r="AQ801" s="4"/>
      <c r="AR801" s="4"/>
      <c r="AS801" s="4"/>
      <c r="AT801" s="4"/>
      <c r="AU801" s="4"/>
      <c r="AV801" s="4"/>
      <c r="AX801" s="4"/>
    </row>
    <row r="802" spans="1:50" ht="12.75" customHeight="1" x14ac:dyDescent="0.2">
      <c r="A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N802" s="4"/>
      <c r="AO802" s="4"/>
      <c r="AP802" s="4"/>
      <c r="AQ802" s="4"/>
      <c r="AR802" s="4"/>
      <c r="AS802" s="4"/>
      <c r="AT802" s="4"/>
      <c r="AU802" s="4"/>
      <c r="AV802" s="4"/>
      <c r="AX802" s="4"/>
    </row>
    <row r="803" spans="1:50" ht="12.75" customHeight="1" x14ac:dyDescent="0.2">
      <c r="A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N803" s="4"/>
      <c r="AO803" s="4"/>
      <c r="AP803" s="4"/>
      <c r="AQ803" s="4"/>
      <c r="AR803" s="4"/>
      <c r="AS803" s="4"/>
      <c r="AT803" s="4"/>
      <c r="AU803" s="4"/>
      <c r="AV803" s="4"/>
      <c r="AX803" s="4"/>
    </row>
    <row r="804" spans="1:50" ht="12.75" customHeight="1" x14ac:dyDescent="0.2">
      <c r="A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N804" s="4"/>
      <c r="AO804" s="4"/>
      <c r="AP804" s="4"/>
      <c r="AQ804" s="4"/>
      <c r="AR804" s="4"/>
      <c r="AS804" s="4"/>
      <c r="AT804" s="4"/>
      <c r="AU804" s="4"/>
      <c r="AV804" s="4"/>
      <c r="AX804" s="4"/>
    </row>
    <row r="805" spans="1:50" ht="12.75" customHeight="1" x14ac:dyDescent="0.2">
      <c r="A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N805" s="4"/>
      <c r="AO805" s="4"/>
      <c r="AP805" s="4"/>
      <c r="AQ805" s="4"/>
      <c r="AR805" s="4"/>
      <c r="AS805" s="4"/>
      <c r="AT805" s="4"/>
      <c r="AU805" s="4"/>
      <c r="AV805" s="4"/>
      <c r="AX805" s="4"/>
    </row>
    <row r="806" spans="1:50" ht="12.75" customHeight="1" x14ac:dyDescent="0.2">
      <c r="A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N806" s="4"/>
      <c r="AO806" s="4"/>
      <c r="AP806" s="4"/>
      <c r="AQ806" s="4"/>
      <c r="AR806" s="4"/>
      <c r="AS806" s="4"/>
      <c r="AT806" s="4"/>
      <c r="AU806" s="4"/>
      <c r="AV806" s="4"/>
      <c r="AX806" s="4"/>
    </row>
    <row r="807" spans="1:50" ht="12.75" customHeight="1" x14ac:dyDescent="0.2">
      <c r="A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N807" s="4"/>
      <c r="AO807" s="4"/>
      <c r="AP807" s="4"/>
      <c r="AQ807" s="4"/>
      <c r="AR807" s="4"/>
      <c r="AS807" s="4"/>
      <c r="AT807" s="4"/>
      <c r="AU807" s="4"/>
      <c r="AV807" s="4"/>
      <c r="AX807" s="4"/>
    </row>
    <row r="808" spans="1:50" ht="12.75" customHeight="1" x14ac:dyDescent="0.2">
      <c r="A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N808" s="4"/>
      <c r="AO808" s="4"/>
      <c r="AP808" s="4"/>
      <c r="AQ808" s="4"/>
      <c r="AR808" s="4"/>
      <c r="AS808" s="4"/>
      <c r="AT808" s="4"/>
      <c r="AU808" s="4"/>
      <c r="AV808" s="4"/>
      <c r="AX808" s="4"/>
    </row>
    <row r="809" spans="1:50" ht="12.75" customHeight="1" x14ac:dyDescent="0.2">
      <c r="A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N809" s="4"/>
      <c r="AO809" s="4"/>
      <c r="AP809" s="4"/>
      <c r="AQ809" s="4"/>
      <c r="AR809" s="4"/>
      <c r="AS809" s="4"/>
      <c r="AT809" s="4"/>
      <c r="AU809" s="4"/>
      <c r="AV809" s="4"/>
      <c r="AX809" s="4"/>
    </row>
    <row r="810" spans="1:50" ht="12.75" customHeight="1" x14ac:dyDescent="0.2">
      <c r="A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N810" s="4"/>
      <c r="AO810" s="4"/>
      <c r="AP810" s="4"/>
      <c r="AQ810" s="4"/>
      <c r="AR810" s="4"/>
      <c r="AS810" s="4"/>
      <c r="AT810" s="4"/>
      <c r="AU810" s="4"/>
      <c r="AV810" s="4"/>
      <c r="AX810" s="4"/>
    </row>
    <row r="811" spans="1:50" ht="12.75" customHeight="1" x14ac:dyDescent="0.2">
      <c r="A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N811" s="4"/>
      <c r="AO811" s="4"/>
      <c r="AP811" s="4"/>
      <c r="AQ811" s="4"/>
      <c r="AR811" s="4"/>
      <c r="AS811" s="4"/>
      <c r="AT811" s="4"/>
      <c r="AU811" s="4"/>
      <c r="AV811" s="4"/>
      <c r="AX811" s="4"/>
    </row>
    <row r="812" spans="1:50" ht="12.75" customHeight="1" x14ac:dyDescent="0.2">
      <c r="A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N812" s="4"/>
      <c r="AO812" s="4"/>
      <c r="AP812" s="4"/>
      <c r="AQ812" s="4"/>
      <c r="AR812" s="4"/>
      <c r="AS812" s="4"/>
      <c r="AT812" s="4"/>
      <c r="AU812" s="4"/>
      <c r="AV812" s="4"/>
      <c r="AX812" s="4"/>
    </row>
    <row r="813" spans="1:50" ht="12.75" customHeight="1" x14ac:dyDescent="0.2">
      <c r="A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N813" s="4"/>
      <c r="AO813" s="4"/>
      <c r="AP813" s="4"/>
      <c r="AQ813" s="4"/>
      <c r="AR813" s="4"/>
      <c r="AS813" s="4"/>
      <c r="AT813" s="4"/>
      <c r="AU813" s="4"/>
      <c r="AV813" s="4"/>
      <c r="AX813" s="4"/>
    </row>
    <row r="814" spans="1:50" ht="12.75" customHeight="1" x14ac:dyDescent="0.2">
      <c r="A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N814" s="4"/>
      <c r="AO814" s="4"/>
      <c r="AP814" s="4"/>
      <c r="AQ814" s="4"/>
      <c r="AR814" s="4"/>
      <c r="AS814" s="4"/>
      <c r="AT814" s="4"/>
      <c r="AU814" s="4"/>
      <c r="AV814" s="4"/>
      <c r="AX814" s="4"/>
    </row>
    <row r="815" spans="1:50" ht="12.75" customHeight="1" x14ac:dyDescent="0.2">
      <c r="A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N815" s="4"/>
      <c r="AO815" s="4"/>
      <c r="AP815" s="4"/>
      <c r="AQ815" s="4"/>
      <c r="AR815" s="4"/>
      <c r="AS815" s="4"/>
      <c r="AT815" s="4"/>
      <c r="AU815" s="4"/>
      <c r="AV815" s="4"/>
      <c r="AX815" s="4"/>
    </row>
    <row r="816" spans="1:50" ht="12.75" customHeight="1" x14ac:dyDescent="0.2">
      <c r="A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N816" s="4"/>
      <c r="AO816" s="4"/>
      <c r="AP816" s="4"/>
      <c r="AQ816" s="4"/>
      <c r="AR816" s="4"/>
      <c r="AS816" s="4"/>
      <c r="AT816" s="4"/>
      <c r="AU816" s="4"/>
      <c r="AV816" s="4"/>
      <c r="AX816" s="4"/>
    </row>
    <row r="817" spans="1:50" ht="12.75" customHeight="1" x14ac:dyDescent="0.2">
      <c r="A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N817" s="4"/>
      <c r="AO817" s="4"/>
      <c r="AP817" s="4"/>
      <c r="AQ817" s="4"/>
      <c r="AR817" s="4"/>
      <c r="AS817" s="4"/>
      <c r="AT817" s="4"/>
      <c r="AU817" s="4"/>
      <c r="AV817" s="4"/>
      <c r="AX817" s="4"/>
    </row>
    <row r="818" spans="1:50" ht="12.75" customHeight="1" x14ac:dyDescent="0.2">
      <c r="A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N818" s="4"/>
      <c r="AO818" s="4"/>
      <c r="AP818" s="4"/>
      <c r="AQ818" s="4"/>
      <c r="AR818" s="4"/>
      <c r="AS818" s="4"/>
      <c r="AT818" s="4"/>
      <c r="AU818" s="4"/>
      <c r="AV818" s="4"/>
      <c r="AX818" s="4"/>
    </row>
    <row r="819" spans="1:50" ht="12.75" customHeight="1" x14ac:dyDescent="0.2">
      <c r="A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N819" s="4"/>
      <c r="AO819" s="4"/>
      <c r="AP819" s="4"/>
      <c r="AQ819" s="4"/>
      <c r="AR819" s="4"/>
      <c r="AS819" s="4"/>
      <c r="AT819" s="4"/>
      <c r="AU819" s="4"/>
      <c r="AV819" s="4"/>
      <c r="AX819" s="4"/>
    </row>
    <row r="820" spans="1:50" ht="12.75" customHeight="1" x14ac:dyDescent="0.2">
      <c r="A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N820" s="4"/>
      <c r="AO820" s="4"/>
      <c r="AP820" s="4"/>
      <c r="AQ820" s="4"/>
      <c r="AR820" s="4"/>
      <c r="AS820" s="4"/>
      <c r="AT820" s="4"/>
      <c r="AU820" s="4"/>
      <c r="AV820" s="4"/>
      <c r="AX820" s="4"/>
    </row>
    <row r="821" spans="1:50" ht="12.75" customHeight="1" x14ac:dyDescent="0.2">
      <c r="A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N821" s="4"/>
      <c r="AO821" s="4"/>
      <c r="AP821" s="4"/>
      <c r="AQ821" s="4"/>
      <c r="AR821" s="4"/>
      <c r="AS821" s="4"/>
      <c r="AT821" s="4"/>
      <c r="AU821" s="4"/>
      <c r="AV821" s="4"/>
      <c r="AX821" s="4"/>
    </row>
    <row r="822" spans="1:50" ht="12.75" customHeight="1" x14ac:dyDescent="0.2">
      <c r="A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N822" s="4"/>
      <c r="AO822" s="4"/>
      <c r="AP822" s="4"/>
      <c r="AQ822" s="4"/>
      <c r="AR822" s="4"/>
      <c r="AS822" s="4"/>
      <c r="AT822" s="4"/>
      <c r="AU822" s="4"/>
      <c r="AV822" s="4"/>
      <c r="AX822" s="4"/>
    </row>
    <row r="823" spans="1:50" ht="12.75" customHeight="1" x14ac:dyDescent="0.2">
      <c r="A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N823" s="4"/>
      <c r="AO823" s="4"/>
      <c r="AP823" s="4"/>
      <c r="AQ823" s="4"/>
      <c r="AR823" s="4"/>
      <c r="AS823" s="4"/>
      <c r="AT823" s="4"/>
      <c r="AU823" s="4"/>
      <c r="AV823" s="4"/>
      <c r="AX823" s="4"/>
    </row>
    <row r="824" spans="1:50" ht="12.75" customHeight="1" x14ac:dyDescent="0.2">
      <c r="A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N824" s="4"/>
      <c r="AO824" s="4"/>
      <c r="AP824" s="4"/>
      <c r="AQ824" s="4"/>
      <c r="AR824" s="4"/>
      <c r="AS824" s="4"/>
      <c r="AT824" s="4"/>
      <c r="AU824" s="4"/>
      <c r="AV824" s="4"/>
      <c r="AX824" s="4"/>
    </row>
    <row r="825" spans="1:50" ht="12.75" customHeight="1" x14ac:dyDescent="0.2">
      <c r="A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N825" s="4"/>
      <c r="AO825" s="4"/>
      <c r="AP825" s="4"/>
      <c r="AQ825" s="4"/>
      <c r="AR825" s="4"/>
      <c r="AS825" s="4"/>
      <c r="AT825" s="4"/>
      <c r="AU825" s="4"/>
      <c r="AV825" s="4"/>
      <c r="AX825" s="4"/>
    </row>
    <row r="826" spans="1:50" ht="12.75" customHeight="1" x14ac:dyDescent="0.2">
      <c r="A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N826" s="4"/>
      <c r="AO826" s="4"/>
      <c r="AP826" s="4"/>
      <c r="AQ826" s="4"/>
      <c r="AR826" s="4"/>
      <c r="AS826" s="4"/>
      <c r="AT826" s="4"/>
      <c r="AU826" s="4"/>
      <c r="AV826" s="4"/>
      <c r="AX826" s="4"/>
    </row>
    <row r="827" spans="1:50" ht="12.75" customHeight="1" x14ac:dyDescent="0.2">
      <c r="A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N827" s="4"/>
      <c r="AO827" s="4"/>
      <c r="AP827" s="4"/>
      <c r="AQ827" s="4"/>
      <c r="AR827" s="4"/>
      <c r="AS827" s="4"/>
      <c r="AT827" s="4"/>
      <c r="AU827" s="4"/>
      <c r="AV827" s="4"/>
      <c r="AX827" s="4"/>
    </row>
    <row r="828" spans="1:50" ht="12.75" customHeight="1" x14ac:dyDescent="0.2">
      <c r="A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N828" s="4"/>
      <c r="AO828" s="4"/>
      <c r="AP828" s="4"/>
      <c r="AQ828" s="4"/>
      <c r="AR828" s="4"/>
      <c r="AS828" s="4"/>
      <c r="AT828" s="4"/>
      <c r="AU828" s="4"/>
      <c r="AV828" s="4"/>
      <c r="AX828" s="4"/>
    </row>
    <row r="829" spans="1:50" ht="12.75" customHeight="1" x14ac:dyDescent="0.2">
      <c r="A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N829" s="4"/>
      <c r="AO829" s="4"/>
      <c r="AP829" s="4"/>
      <c r="AQ829" s="4"/>
      <c r="AR829" s="4"/>
      <c r="AS829" s="4"/>
      <c r="AT829" s="4"/>
      <c r="AU829" s="4"/>
      <c r="AV829" s="4"/>
      <c r="AX829" s="4"/>
    </row>
    <row r="830" spans="1:50" ht="12.75" customHeight="1" x14ac:dyDescent="0.2">
      <c r="A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N830" s="4"/>
      <c r="AO830" s="4"/>
      <c r="AP830" s="4"/>
      <c r="AQ830" s="4"/>
      <c r="AR830" s="4"/>
      <c r="AS830" s="4"/>
      <c r="AT830" s="4"/>
      <c r="AU830" s="4"/>
      <c r="AV830" s="4"/>
      <c r="AX830" s="4"/>
    </row>
    <row r="831" spans="1:50" ht="12.75" customHeight="1" x14ac:dyDescent="0.2">
      <c r="A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N831" s="4"/>
      <c r="AO831" s="4"/>
      <c r="AP831" s="4"/>
      <c r="AQ831" s="4"/>
      <c r="AR831" s="4"/>
      <c r="AS831" s="4"/>
      <c r="AT831" s="4"/>
      <c r="AU831" s="4"/>
      <c r="AV831" s="4"/>
      <c r="AX831" s="4"/>
    </row>
    <row r="832" spans="1:50" ht="12.75" customHeight="1" x14ac:dyDescent="0.2">
      <c r="A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N832" s="4"/>
      <c r="AO832" s="4"/>
      <c r="AP832" s="4"/>
      <c r="AQ832" s="4"/>
      <c r="AR832" s="4"/>
      <c r="AS832" s="4"/>
      <c r="AT832" s="4"/>
      <c r="AU832" s="4"/>
      <c r="AV832" s="4"/>
      <c r="AX832" s="4"/>
    </row>
    <row r="833" spans="1:50" ht="12.75" customHeight="1" x14ac:dyDescent="0.2">
      <c r="A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N833" s="4"/>
      <c r="AO833" s="4"/>
      <c r="AP833" s="4"/>
      <c r="AQ833" s="4"/>
      <c r="AR833" s="4"/>
      <c r="AS833" s="4"/>
      <c r="AT833" s="4"/>
      <c r="AU833" s="4"/>
      <c r="AV833" s="4"/>
      <c r="AX833" s="4"/>
    </row>
    <row r="834" spans="1:50" ht="12.75" customHeight="1" x14ac:dyDescent="0.2">
      <c r="A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N834" s="4"/>
      <c r="AO834" s="4"/>
      <c r="AP834" s="4"/>
      <c r="AQ834" s="4"/>
      <c r="AR834" s="4"/>
      <c r="AS834" s="4"/>
      <c r="AT834" s="4"/>
      <c r="AU834" s="4"/>
      <c r="AV834" s="4"/>
      <c r="AX834" s="4"/>
    </row>
    <row r="835" spans="1:50" ht="12.75" customHeight="1" x14ac:dyDescent="0.2">
      <c r="A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N835" s="4"/>
      <c r="AO835" s="4"/>
      <c r="AP835" s="4"/>
      <c r="AQ835" s="4"/>
      <c r="AR835" s="4"/>
      <c r="AS835" s="4"/>
      <c r="AT835" s="4"/>
      <c r="AU835" s="4"/>
      <c r="AV835" s="4"/>
      <c r="AX835" s="4"/>
    </row>
    <row r="836" spans="1:50" ht="12.75" customHeight="1" x14ac:dyDescent="0.2">
      <c r="A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N836" s="4"/>
      <c r="AO836" s="4"/>
      <c r="AP836" s="4"/>
      <c r="AQ836" s="4"/>
      <c r="AR836" s="4"/>
      <c r="AS836" s="4"/>
      <c r="AT836" s="4"/>
      <c r="AU836" s="4"/>
      <c r="AV836" s="4"/>
      <c r="AX836" s="4"/>
    </row>
    <row r="837" spans="1:50" ht="12.75" customHeight="1" x14ac:dyDescent="0.2">
      <c r="A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N837" s="4"/>
      <c r="AO837" s="4"/>
      <c r="AP837" s="4"/>
      <c r="AQ837" s="4"/>
      <c r="AR837" s="4"/>
      <c r="AS837" s="4"/>
      <c r="AT837" s="4"/>
      <c r="AU837" s="4"/>
      <c r="AV837" s="4"/>
      <c r="AX837" s="4"/>
    </row>
    <row r="838" spans="1:50" ht="12.75" customHeight="1" x14ac:dyDescent="0.2">
      <c r="A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N838" s="4"/>
      <c r="AO838" s="4"/>
      <c r="AP838" s="4"/>
      <c r="AQ838" s="4"/>
      <c r="AR838" s="4"/>
      <c r="AS838" s="4"/>
      <c r="AT838" s="4"/>
      <c r="AU838" s="4"/>
      <c r="AV838" s="4"/>
      <c r="AX838" s="4"/>
    </row>
    <row r="839" spans="1:50" ht="12.75" customHeight="1" x14ac:dyDescent="0.2">
      <c r="A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N839" s="4"/>
      <c r="AO839" s="4"/>
      <c r="AP839" s="4"/>
      <c r="AQ839" s="4"/>
      <c r="AR839" s="4"/>
      <c r="AS839" s="4"/>
      <c r="AT839" s="4"/>
      <c r="AU839" s="4"/>
      <c r="AV839" s="4"/>
      <c r="AX839" s="4"/>
    </row>
    <row r="840" spans="1:50" ht="12.75" customHeight="1" x14ac:dyDescent="0.2">
      <c r="A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N840" s="4"/>
      <c r="AO840" s="4"/>
      <c r="AP840" s="4"/>
      <c r="AQ840" s="4"/>
      <c r="AR840" s="4"/>
      <c r="AS840" s="4"/>
      <c r="AT840" s="4"/>
      <c r="AU840" s="4"/>
      <c r="AV840" s="4"/>
      <c r="AX840" s="4"/>
    </row>
    <row r="841" spans="1:50" ht="12.75" customHeight="1" x14ac:dyDescent="0.2">
      <c r="A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N841" s="4"/>
      <c r="AO841" s="4"/>
      <c r="AP841" s="4"/>
      <c r="AQ841" s="4"/>
      <c r="AR841" s="4"/>
      <c r="AS841" s="4"/>
      <c r="AT841" s="4"/>
      <c r="AU841" s="4"/>
      <c r="AV841" s="4"/>
      <c r="AX841" s="4"/>
    </row>
    <row r="842" spans="1:50" ht="12.75" customHeight="1" x14ac:dyDescent="0.2">
      <c r="A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N842" s="4"/>
      <c r="AO842" s="4"/>
      <c r="AP842" s="4"/>
      <c r="AQ842" s="4"/>
      <c r="AR842" s="4"/>
      <c r="AS842" s="4"/>
      <c r="AT842" s="4"/>
      <c r="AU842" s="4"/>
      <c r="AV842" s="4"/>
      <c r="AX842" s="4"/>
    </row>
    <row r="843" spans="1:50" ht="12.75" customHeight="1" x14ac:dyDescent="0.2">
      <c r="A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N843" s="4"/>
      <c r="AO843" s="4"/>
      <c r="AP843" s="4"/>
      <c r="AQ843" s="4"/>
      <c r="AR843" s="4"/>
      <c r="AS843" s="4"/>
      <c r="AT843" s="4"/>
      <c r="AU843" s="4"/>
      <c r="AV843" s="4"/>
      <c r="AX843" s="4"/>
    </row>
    <row r="844" spans="1:50" ht="12.75" customHeight="1" x14ac:dyDescent="0.2">
      <c r="A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N844" s="4"/>
      <c r="AO844" s="4"/>
      <c r="AP844" s="4"/>
      <c r="AQ844" s="4"/>
      <c r="AR844" s="4"/>
      <c r="AS844" s="4"/>
      <c r="AT844" s="4"/>
      <c r="AU844" s="4"/>
      <c r="AV844" s="4"/>
      <c r="AX844" s="4"/>
    </row>
    <row r="845" spans="1:50" ht="12.75" customHeight="1" x14ac:dyDescent="0.2">
      <c r="A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N845" s="4"/>
      <c r="AO845" s="4"/>
      <c r="AP845" s="4"/>
      <c r="AQ845" s="4"/>
      <c r="AR845" s="4"/>
      <c r="AS845" s="4"/>
      <c r="AT845" s="4"/>
      <c r="AU845" s="4"/>
      <c r="AV845" s="4"/>
      <c r="AX845" s="4"/>
    </row>
    <row r="846" spans="1:50" ht="12.75" customHeight="1" x14ac:dyDescent="0.2">
      <c r="A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N846" s="4"/>
      <c r="AO846" s="4"/>
      <c r="AP846" s="4"/>
      <c r="AQ846" s="4"/>
      <c r="AR846" s="4"/>
      <c r="AS846" s="4"/>
      <c r="AT846" s="4"/>
      <c r="AU846" s="4"/>
      <c r="AV846" s="4"/>
      <c r="AX846" s="4"/>
    </row>
    <row r="847" spans="1:50" ht="12.75" customHeight="1" x14ac:dyDescent="0.2">
      <c r="A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N847" s="4"/>
      <c r="AO847" s="4"/>
      <c r="AP847" s="4"/>
      <c r="AQ847" s="4"/>
      <c r="AR847" s="4"/>
      <c r="AS847" s="4"/>
      <c r="AT847" s="4"/>
      <c r="AU847" s="4"/>
      <c r="AV847" s="4"/>
      <c r="AX847" s="4"/>
    </row>
    <row r="848" spans="1:50" ht="12.75" customHeight="1" x14ac:dyDescent="0.2">
      <c r="A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N848" s="4"/>
      <c r="AO848" s="4"/>
      <c r="AP848" s="4"/>
      <c r="AQ848" s="4"/>
      <c r="AR848" s="4"/>
      <c r="AS848" s="4"/>
      <c r="AT848" s="4"/>
      <c r="AU848" s="4"/>
      <c r="AV848" s="4"/>
      <c r="AX848" s="4"/>
    </row>
    <row r="849" spans="1:50" ht="12.75" customHeight="1" x14ac:dyDescent="0.2">
      <c r="A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N849" s="4"/>
      <c r="AO849" s="4"/>
      <c r="AP849" s="4"/>
      <c r="AQ849" s="4"/>
      <c r="AR849" s="4"/>
      <c r="AS849" s="4"/>
      <c r="AT849" s="4"/>
      <c r="AU849" s="4"/>
      <c r="AV849" s="4"/>
      <c r="AX849" s="4"/>
    </row>
    <row r="850" spans="1:50" ht="12.75" customHeight="1" x14ac:dyDescent="0.2">
      <c r="A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N850" s="4"/>
      <c r="AO850" s="4"/>
      <c r="AP850" s="4"/>
      <c r="AQ850" s="4"/>
      <c r="AR850" s="4"/>
      <c r="AS850" s="4"/>
      <c r="AT850" s="4"/>
      <c r="AU850" s="4"/>
      <c r="AV850" s="4"/>
      <c r="AX850" s="4"/>
    </row>
    <row r="851" spans="1:50" ht="12.75" customHeight="1" x14ac:dyDescent="0.2">
      <c r="A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N851" s="4"/>
      <c r="AO851" s="4"/>
      <c r="AP851" s="4"/>
      <c r="AQ851" s="4"/>
      <c r="AR851" s="4"/>
      <c r="AS851" s="4"/>
      <c r="AT851" s="4"/>
      <c r="AU851" s="4"/>
      <c r="AV851" s="4"/>
      <c r="AX851" s="4"/>
    </row>
    <row r="852" spans="1:50" ht="12.75" customHeight="1" x14ac:dyDescent="0.2">
      <c r="A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N852" s="4"/>
      <c r="AO852" s="4"/>
      <c r="AP852" s="4"/>
      <c r="AQ852" s="4"/>
      <c r="AR852" s="4"/>
      <c r="AS852" s="4"/>
      <c r="AT852" s="4"/>
      <c r="AU852" s="4"/>
      <c r="AV852" s="4"/>
      <c r="AX852" s="4"/>
    </row>
    <row r="853" spans="1:50" ht="12.75" customHeight="1" x14ac:dyDescent="0.2">
      <c r="A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N853" s="4"/>
      <c r="AO853" s="4"/>
      <c r="AP853" s="4"/>
      <c r="AQ853" s="4"/>
      <c r="AR853" s="4"/>
      <c r="AS853" s="4"/>
      <c r="AT853" s="4"/>
      <c r="AU853" s="4"/>
      <c r="AV853" s="4"/>
      <c r="AX853" s="4"/>
    </row>
    <row r="854" spans="1:50" ht="12.75" customHeight="1" x14ac:dyDescent="0.2">
      <c r="A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N854" s="4"/>
      <c r="AO854" s="4"/>
      <c r="AP854" s="4"/>
      <c r="AQ854" s="4"/>
      <c r="AR854" s="4"/>
      <c r="AS854" s="4"/>
      <c r="AT854" s="4"/>
      <c r="AU854" s="4"/>
      <c r="AV854" s="4"/>
      <c r="AX854" s="4"/>
    </row>
    <row r="855" spans="1:50" ht="12.75" customHeight="1" x14ac:dyDescent="0.2">
      <c r="A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N855" s="4"/>
      <c r="AO855" s="4"/>
      <c r="AP855" s="4"/>
      <c r="AQ855" s="4"/>
      <c r="AR855" s="4"/>
      <c r="AS855" s="4"/>
      <c r="AT855" s="4"/>
      <c r="AU855" s="4"/>
      <c r="AV855" s="4"/>
      <c r="AX855" s="4"/>
    </row>
    <row r="856" spans="1:50" ht="12.75" customHeight="1" x14ac:dyDescent="0.2">
      <c r="A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N856" s="4"/>
      <c r="AO856" s="4"/>
      <c r="AP856" s="4"/>
      <c r="AQ856" s="4"/>
      <c r="AR856" s="4"/>
      <c r="AS856" s="4"/>
      <c r="AT856" s="4"/>
      <c r="AU856" s="4"/>
      <c r="AV856" s="4"/>
      <c r="AX856" s="4"/>
    </row>
    <row r="857" spans="1:50" ht="12.75" customHeight="1" x14ac:dyDescent="0.2">
      <c r="A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N857" s="4"/>
      <c r="AO857" s="4"/>
      <c r="AP857" s="4"/>
      <c r="AQ857" s="4"/>
      <c r="AR857" s="4"/>
      <c r="AS857" s="4"/>
      <c r="AT857" s="4"/>
      <c r="AU857" s="4"/>
      <c r="AV857" s="4"/>
      <c r="AX857" s="4"/>
    </row>
    <row r="858" spans="1:50" ht="12.75" customHeight="1" x14ac:dyDescent="0.2">
      <c r="A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N858" s="4"/>
      <c r="AO858" s="4"/>
      <c r="AP858" s="4"/>
      <c r="AQ858" s="4"/>
      <c r="AR858" s="4"/>
      <c r="AS858" s="4"/>
      <c r="AT858" s="4"/>
      <c r="AU858" s="4"/>
      <c r="AV858" s="4"/>
      <c r="AX858" s="4"/>
    </row>
    <row r="859" spans="1:50" ht="12.75" customHeight="1" x14ac:dyDescent="0.2">
      <c r="A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N859" s="4"/>
      <c r="AO859" s="4"/>
      <c r="AP859" s="4"/>
      <c r="AQ859" s="4"/>
      <c r="AR859" s="4"/>
      <c r="AS859" s="4"/>
      <c r="AT859" s="4"/>
      <c r="AU859" s="4"/>
      <c r="AV859" s="4"/>
      <c r="AX859" s="4"/>
    </row>
    <row r="860" spans="1:50" ht="12.75" customHeight="1" x14ac:dyDescent="0.2">
      <c r="A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N860" s="4"/>
      <c r="AO860" s="4"/>
      <c r="AP860" s="4"/>
      <c r="AQ860" s="4"/>
      <c r="AR860" s="4"/>
      <c r="AS860" s="4"/>
      <c r="AT860" s="4"/>
      <c r="AU860" s="4"/>
      <c r="AV860" s="4"/>
      <c r="AX860" s="4"/>
    </row>
    <row r="861" spans="1:50" ht="12.75" customHeight="1" x14ac:dyDescent="0.2">
      <c r="A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N861" s="4"/>
      <c r="AO861" s="4"/>
      <c r="AP861" s="4"/>
      <c r="AQ861" s="4"/>
      <c r="AR861" s="4"/>
      <c r="AS861" s="4"/>
      <c r="AT861" s="4"/>
      <c r="AU861" s="4"/>
      <c r="AV861" s="4"/>
      <c r="AX861" s="4"/>
    </row>
    <row r="862" spans="1:50" ht="12.75" customHeight="1" x14ac:dyDescent="0.2">
      <c r="A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N862" s="4"/>
      <c r="AO862" s="4"/>
      <c r="AP862" s="4"/>
      <c r="AQ862" s="4"/>
      <c r="AR862" s="4"/>
      <c r="AS862" s="4"/>
      <c r="AT862" s="4"/>
      <c r="AU862" s="4"/>
      <c r="AV862" s="4"/>
      <c r="AX862" s="4"/>
    </row>
    <row r="863" spans="1:50" ht="12.75" customHeight="1" x14ac:dyDescent="0.2">
      <c r="A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N863" s="4"/>
      <c r="AO863" s="4"/>
      <c r="AP863" s="4"/>
      <c r="AQ863" s="4"/>
      <c r="AR863" s="4"/>
      <c r="AS863" s="4"/>
      <c r="AT863" s="4"/>
      <c r="AU863" s="4"/>
      <c r="AV863" s="4"/>
      <c r="AX863" s="4"/>
    </row>
    <row r="864" spans="1:50" ht="12.75" customHeight="1" x14ac:dyDescent="0.2">
      <c r="A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N864" s="4"/>
      <c r="AO864" s="4"/>
      <c r="AP864" s="4"/>
      <c r="AQ864" s="4"/>
      <c r="AR864" s="4"/>
      <c r="AS864" s="4"/>
      <c r="AT864" s="4"/>
      <c r="AU864" s="4"/>
      <c r="AV864" s="4"/>
      <c r="AX864" s="4"/>
    </row>
    <row r="865" spans="1:50" ht="12.75" customHeight="1" x14ac:dyDescent="0.2">
      <c r="A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N865" s="4"/>
      <c r="AO865" s="4"/>
      <c r="AP865" s="4"/>
      <c r="AQ865" s="4"/>
      <c r="AR865" s="4"/>
      <c r="AS865" s="4"/>
      <c r="AT865" s="4"/>
      <c r="AU865" s="4"/>
      <c r="AV865" s="4"/>
      <c r="AX865" s="4"/>
    </row>
    <row r="866" spans="1:50" ht="12.75" customHeight="1" x14ac:dyDescent="0.2">
      <c r="A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N866" s="4"/>
      <c r="AO866" s="4"/>
      <c r="AP866" s="4"/>
      <c r="AQ866" s="4"/>
      <c r="AR866" s="4"/>
      <c r="AS866" s="4"/>
      <c r="AT866" s="4"/>
      <c r="AU866" s="4"/>
      <c r="AV866" s="4"/>
      <c r="AX866" s="4"/>
    </row>
    <row r="867" spans="1:50" ht="12.75" customHeight="1" x14ac:dyDescent="0.2">
      <c r="A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N867" s="4"/>
      <c r="AO867" s="4"/>
      <c r="AP867" s="4"/>
      <c r="AQ867" s="4"/>
      <c r="AR867" s="4"/>
      <c r="AS867" s="4"/>
      <c r="AT867" s="4"/>
      <c r="AU867" s="4"/>
      <c r="AV867" s="4"/>
      <c r="AX867" s="4"/>
    </row>
    <row r="868" spans="1:50" ht="12.75" customHeight="1" x14ac:dyDescent="0.2">
      <c r="A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N868" s="4"/>
      <c r="AO868" s="4"/>
      <c r="AP868" s="4"/>
      <c r="AQ868" s="4"/>
      <c r="AR868" s="4"/>
      <c r="AS868" s="4"/>
      <c r="AT868" s="4"/>
      <c r="AU868" s="4"/>
      <c r="AV868" s="4"/>
      <c r="AX868" s="4"/>
    </row>
    <row r="869" spans="1:50" ht="12.75" customHeight="1" x14ac:dyDescent="0.2">
      <c r="A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N869" s="4"/>
      <c r="AO869" s="4"/>
      <c r="AP869" s="4"/>
      <c r="AQ869" s="4"/>
      <c r="AR869" s="4"/>
      <c r="AS869" s="4"/>
      <c r="AT869" s="4"/>
      <c r="AU869" s="4"/>
      <c r="AV869" s="4"/>
      <c r="AX869" s="4"/>
    </row>
    <row r="870" spans="1:50" ht="12.75" customHeight="1" x14ac:dyDescent="0.2">
      <c r="A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N870" s="4"/>
      <c r="AO870" s="4"/>
      <c r="AP870" s="4"/>
      <c r="AQ870" s="4"/>
      <c r="AR870" s="4"/>
      <c r="AS870" s="4"/>
      <c r="AT870" s="4"/>
      <c r="AU870" s="4"/>
      <c r="AV870" s="4"/>
      <c r="AX870" s="4"/>
    </row>
    <row r="871" spans="1:50" ht="12.75" customHeight="1" x14ac:dyDescent="0.2">
      <c r="A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N871" s="4"/>
      <c r="AO871" s="4"/>
      <c r="AP871" s="4"/>
      <c r="AQ871" s="4"/>
      <c r="AR871" s="4"/>
      <c r="AS871" s="4"/>
      <c r="AT871" s="4"/>
      <c r="AU871" s="4"/>
      <c r="AV871" s="4"/>
      <c r="AX871" s="4"/>
    </row>
    <row r="872" spans="1:50" ht="12.75" customHeight="1" x14ac:dyDescent="0.2">
      <c r="A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N872" s="4"/>
      <c r="AO872" s="4"/>
      <c r="AP872" s="4"/>
      <c r="AQ872" s="4"/>
      <c r="AR872" s="4"/>
      <c r="AS872" s="4"/>
      <c r="AT872" s="4"/>
      <c r="AU872" s="4"/>
      <c r="AV872" s="4"/>
      <c r="AX872" s="4"/>
    </row>
    <row r="873" spans="1:50" ht="12.75" customHeight="1" x14ac:dyDescent="0.2">
      <c r="A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N873" s="4"/>
      <c r="AO873" s="4"/>
      <c r="AP873" s="4"/>
      <c r="AQ873" s="4"/>
      <c r="AR873" s="4"/>
      <c r="AS873" s="4"/>
      <c r="AT873" s="4"/>
      <c r="AU873" s="4"/>
      <c r="AV873" s="4"/>
      <c r="AX873" s="4"/>
    </row>
    <row r="874" spans="1:50" ht="12.75" customHeight="1" x14ac:dyDescent="0.2">
      <c r="A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N874" s="4"/>
      <c r="AO874" s="4"/>
      <c r="AP874" s="4"/>
      <c r="AQ874" s="4"/>
      <c r="AR874" s="4"/>
      <c r="AS874" s="4"/>
      <c r="AT874" s="4"/>
      <c r="AU874" s="4"/>
      <c r="AV874" s="4"/>
      <c r="AX874" s="4"/>
    </row>
    <row r="875" spans="1:50" ht="12.75" customHeight="1" x14ac:dyDescent="0.2">
      <c r="A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N875" s="4"/>
      <c r="AO875" s="4"/>
      <c r="AP875" s="4"/>
      <c r="AQ875" s="4"/>
      <c r="AR875" s="4"/>
      <c r="AS875" s="4"/>
      <c r="AT875" s="4"/>
      <c r="AU875" s="4"/>
      <c r="AV875" s="4"/>
      <c r="AX875" s="4"/>
    </row>
    <row r="876" spans="1:50" ht="12.75" customHeight="1" x14ac:dyDescent="0.2">
      <c r="A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N876" s="4"/>
      <c r="AO876" s="4"/>
      <c r="AP876" s="4"/>
      <c r="AQ876" s="4"/>
      <c r="AR876" s="4"/>
      <c r="AS876" s="4"/>
      <c r="AT876" s="4"/>
      <c r="AU876" s="4"/>
      <c r="AV876" s="4"/>
      <c r="AX876" s="4"/>
    </row>
    <row r="877" spans="1:50" ht="12.75" customHeight="1" x14ac:dyDescent="0.2">
      <c r="A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N877" s="4"/>
      <c r="AO877" s="4"/>
      <c r="AP877" s="4"/>
      <c r="AQ877" s="4"/>
      <c r="AR877" s="4"/>
      <c r="AS877" s="4"/>
      <c r="AT877" s="4"/>
      <c r="AU877" s="4"/>
      <c r="AV877" s="4"/>
      <c r="AX877" s="4"/>
    </row>
    <row r="878" spans="1:50" ht="12.75" customHeight="1" x14ac:dyDescent="0.2">
      <c r="A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N878" s="4"/>
      <c r="AO878" s="4"/>
      <c r="AP878" s="4"/>
      <c r="AQ878" s="4"/>
      <c r="AR878" s="4"/>
      <c r="AS878" s="4"/>
      <c r="AT878" s="4"/>
      <c r="AU878" s="4"/>
      <c r="AV878" s="4"/>
      <c r="AX878" s="4"/>
    </row>
    <row r="879" spans="1:50" ht="12.75" customHeight="1" x14ac:dyDescent="0.2">
      <c r="A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N879" s="4"/>
      <c r="AO879" s="4"/>
      <c r="AP879" s="4"/>
      <c r="AQ879" s="4"/>
      <c r="AR879" s="4"/>
      <c r="AS879" s="4"/>
      <c r="AT879" s="4"/>
      <c r="AU879" s="4"/>
      <c r="AV879" s="4"/>
      <c r="AX879" s="4"/>
    </row>
    <row r="880" spans="1:50" ht="12.75" customHeight="1" x14ac:dyDescent="0.2">
      <c r="A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N880" s="4"/>
      <c r="AO880" s="4"/>
      <c r="AP880" s="4"/>
      <c r="AQ880" s="4"/>
      <c r="AR880" s="4"/>
      <c r="AS880" s="4"/>
      <c r="AT880" s="4"/>
      <c r="AU880" s="4"/>
      <c r="AV880" s="4"/>
      <c r="AX880" s="4"/>
    </row>
    <row r="881" spans="1:50" ht="12.75" customHeight="1" x14ac:dyDescent="0.2">
      <c r="A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N881" s="4"/>
      <c r="AO881" s="4"/>
      <c r="AP881" s="4"/>
      <c r="AQ881" s="4"/>
      <c r="AR881" s="4"/>
      <c r="AS881" s="4"/>
      <c r="AT881" s="4"/>
      <c r="AU881" s="4"/>
      <c r="AV881" s="4"/>
      <c r="AX881" s="4"/>
    </row>
    <row r="882" spans="1:50" ht="12.75" customHeight="1" x14ac:dyDescent="0.2">
      <c r="A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N882" s="4"/>
      <c r="AO882" s="4"/>
      <c r="AP882" s="4"/>
      <c r="AQ882" s="4"/>
      <c r="AR882" s="4"/>
      <c r="AS882" s="4"/>
      <c r="AT882" s="4"/>
      <c r="AU882" s="4"/>
      <c r="AV882" s="4"/>
      <c r="AX882" s="4"/>
    </row>
    <row r="883" spans="1:50" ht="12.75" customHeight="1" x14ac:dyDescent="0.2">
      <c r="A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N883" s="4"/>
      <c r="AO883" s="4"/>
      <c r="AP883" s="4"/>
      <c r="AQ883" s="4"/>
      <c r="AR883" s="4"/>
      <c r="AS883" s="4"/>
      <c r="AT883" s="4"/>
      <c r="AU883" s="4"/>
      <c r="AV883" s="4"/>
      <c r="AX883" s="4"/>
    </row>
    <row r="884" spans="1:50" ht="12.75" customHeight="1" x14ac:dyDescent="0.2">
      <c r="A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N884" s="4"/>
      <c r="AO884" s="4"/>
      <c r="AP884" s="4"/>
      <c r="AQ884" s="4"/>
      <c r="AR884" s="4"/>
      <c r="AS884" s="4"/>
      <c r="AT884" s="4"/>
      <c r="AU884" s="4"/>
      <c r="AV884" s="4"/>
      <c r="AX884" s="4"/>
    </row>
    <row r="885" spans="1:50" ht="12.75" customHeight="1" x14ac:dyDescent="0.2">
      <c r="A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N885" s="4"/>
      <c r="AO885" s="4"/>
      <c r="AP885" s="4"/>
      <c r="AQ885" s="4"/>
      <c r="AR885" s="4"/>
      <c r="AS885" s="4"/>
      <c r="AT885" s="4"/>
      <c r="AU885" s="4"/>
      <c r="AV885" s="4"/>
      <c r="AX885" s="4"/>
    </row>
    <row r="886" spans="1:50" ht="12.75" customHeight="1" x14ac:dyDescent="0.2">
      <c r="A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N886" s="4"/>
      <c r="AO886" s="4"/>
      <c r="AP886" s="4"/>
      <c r="AQ886" s="4"/>
      <c r="AR886" s="4"/>
      <c r="AS886" s="4"/>
      <c r="AT886" s="4"/>
      <c r="AU886" s="4"/>
      <c r="AV886" s="4"/>
      <c r="AX886" s="4"/>
    </row>
    <row r="887" spans="1:50" ht="12.75" customHeight="1" x14ac:dyDescent="0.2">
      <c r="A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N887" s="4"/>
      <c r="AO887" s="4"/>
      <c r="AP887" s="4"/>
      <c r="AQ887" s="4"/>
      <c r="AR887" s="4"/>
      <c r="AS887" s="4"/>
      <c r="AT887" s="4"/>
      <c r="AU887" s="4"/>
      <c r="AV887" s="4"/>
      <c r="AX887" s="4"/>
    </row>
    <row r="888" spans="1:50" ht="12.75" customHeight="1" x14ac:dyDescent="0.2">
      <c r="A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N888" s="4"/>
      <c r="AO888" s="4"/>
      <c r="AP888" s="4"/>
      <c r="AQ888" s="4"/>
      <c r="AR888" s="4"/>
      <c r="AS888" s="4"/>
      <c r="AT888" s="4"/>
      <c r="AU888" s="4"/>
      <c r="AV888" s="4"/>
      <c r="AX888" s="4"/>
    </row>
    <row r="889" spans="1:50" ht="12.75" customHeight="1" x14ac:dyDescent="0.2">
      <c r="A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N889" s="4"/>
      <c r="AO889" s="4"/>
      <c r="AP889" s="4"/>
      <c r="AQ889" s="4"/>
      <c r="AR889" s="4"/>
      <c r="AS889" s="4"/>
      <c r="AT889" s="4"/>
      <c r="AU889" s="4"/>
      <c r="AV889" s="4"/>
      <c r="AX889" s="4"/>
    </row>
    <row r="890" spans="1:50" ht="12.75" customHeight="1" x14ac:dyDescent="0.2">
      <c r="A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N890" s="4"/>
      <c r="AO890" s="4"/>
      <c r="AP890" s="4"/>
      <c r="AQ890" s="4"/>
      <c r="AR890" s="4"/>
      <c r="AS890" s="4"/>
      <c r="AT890" s="4"/>
      <c r="AU890" s="4"/>
      <c r="AV890" s="4"/>
      <c r="AX890" s="4"/>
    </row>
    <row r="891" spans="1:50" ht="12.75" customHeight="1" x14ac:dyDescent="0.2">
      <c r="A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N891" s="4"/>
      <c r="AO891" s="4"/>
      <c r="AP891" s="4"/>
      <c r="AQ891" s="4"/>
      <c r="AR891" s="4"/>
      <c r="AS891" s="4"/>
      <c r="AT891" s="4"/>
      <c r="AU891" s="4"/>
      <c r="AV891" s="4"/>
      <c r="AX891" s="4"/>
    </row>
    <row r="892" spans="1:50" ht="12.75" customHeight="1" x14ac:dyDescent="0.2">
      <c r="A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N892" s="4"/>
      <c r="AO892" s="4"/>
      <c r="AP892" s="4"/>
      <c r="AQ892" s="4"/>
      <c r="AR892" s="4"/>
      <c r="AS892" s="4"/>
      <c r="AT892" s="4"/>
      <c r="AU892" s="4"/>
      <c r="AV892" s="4"/>
      <c r="AX892" s="4"/>
    </row>
    <row r="893" spans="1:50" ht="12.75" customHeight="1" x14ac:dyDescent="0.2">
      <c r="A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N893" s="4"/>
      <c r="AO893" s="4"/>
      <c r="AP893" s="4"/>
      <c r="AQ893" s="4"/>
      <c r="AR893" s="4"/>
      <c r="AS893" s="4"/>
      <c r="AT893" s="4"/>
      <c r="AU893" s="4"/>
      <c r="AV893" s="4"/>
      <c r="AX893" s="4"/>
    </row>
    <row r="894" spans="1:50" ht="12.75" customHeight="1" x14ac:dyDescent="0.2">
      <c r="A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N894" s="4"/>
      <c r="AO894" s="4"/>
      <c r="AP894" s="4"/>
      <c r="AQ894" s="4"/>
      <c r="AR894" s="4"/>
      <c r="AS894" s="4"/>
      <c r="AT894" s="4"/>
      <c r="AU894" s="4"/>
      <c r="AV894" s="4"/>
      <c r="AX894" s="4"/>
    </row>
    <row r="895" spans="1:50" ht="12.75" customHeight="1" x14ac:dyDescent="0.2">
      <c r="A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N895" s="4"/>
      <c r="AO895" s="4"/>
      <c r="AP895" s="4"/>
      <c r="AQ895" s="4"/>
      <c r="AR895" s="4"/>
      <c r="AS895" s="4"/>
      <c r="AT895" s="4"/>
      <c r="AU895" s="4"/>
      <c r="AV895" s="4"/>
      <c r="AX895" s="4"/>
    </row>
    <row r="896" spans="1:50" ht="12.75" customHeight="1" x14ac:dyDescent="0.2">
      <c r="A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N896" s="4"/>
      <c r="AO896" s="4"/>
      <c r="AP896" s="4"/>
      <c r="AQ896" s="4"/>
      <c r="AR896" s="4"/>
      <c r="AS896" s="4"/>
      <c r="AT896" s="4"/>
      <c r="AU896" s="4"/>
      <c r="AV896" s="4"/>
      <c r="AX896" s="4"/>
    </row>
    <row r="897" spans="1:50" ht="12.75" customHeight="1" x14ac:dyDescent="0.2">
      <c r="A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N897" s="4"/>
      <c r="AO897" s="4"/>
      <c r="AP897" s="4"/>
      <c r="AQ897" s="4"/>
      <c r="AR897" s="4"/>
      <c r="AS897" s="4"/>
      <c r="AT897" s="4"/>
      <c r="AU897" s="4"/>
      <c r="AV897" s="4"/>
      <c r="AX897" s="4"/>
    </row>
    <row r="898" spans="1:50" ht="12.75" customHeight="1" x14ac:dyDescent="0.2">
      <c r="A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N898" s="4"/>
      <c r="AO898" s="4"/>
      <c r="AP898" s="4"/>
      <c r="AQ898" s="4"/>
      <c r="AR898" s="4"/>
      <c r="AS898" s="4"/>
      <c r="AT898" s="4"/>
      <c r="AU898" s="4"/>
      <c r="AV898" s="4"/>
      <c r="AX898" s="4"/>
    </row>
    <row r="899" spans="1:50" ht="12.75" customHeight="1" x14ac:dyDescent="0.2">
      <c r="A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N899" s="4"/>
      <c r="AO899" s="4"/>
      <c r="AP899" s="4"/>
      <c r="AQ899" s="4"/>
      <c r="AR899" s="4"/>
      <c r="AS899" s="4"/>
      <c r="AT899" s="4"/>
      <c r="AU899" s="4"/>
      <c r="AV899" s="4"/>
      <c r="AX899" s="4"/>
    </row>
    <row r="900" spans="1:50" ht="12.75" customHeight="1" x14ac:dyDescent="0.2">
      <c r="A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N900" s="4"/>
      <c r="AO900" s="4"/>
      <c r="AP900" s="4"/>
      <c r="AQ900" s="4"/>
      <c r="AR900" s="4"/>
      <c r="AS900" s="4"/>
      <c r="AT900" s="4"/>
      <c r="AU900" s="4"/>
      <c r="AV900" s="4"/>
      <c r="AX900" s="4"/>
    </row>
    <row r="901" spans="1:50" ht="12.75" customHeight="1" x14ac:dyDescent="0.2">
      <c r="A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N901" s="4"/>
      <c r="AO901" s="4"/>
      <c r="AP901" s="4"/>
      <c r="AQ901" s="4"/>
      <c r="AR901" s="4"/>
      <c r="AS901" s="4"/>
      <c r="AT901" s="4"/>
      <c r="AU901" s="4"/>
      <c r="AV901" s="4"/>
      <c r="AX901" s="4"/>
    </row>
    <row r="902" spans="1:50" ht="12.75" customHeight="1" x14ac:dyDescent="0.2">
      <c r="A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N902" s="4"/>
      <c r="AO902" s="4"/>
      <c r="AP902" s="4"/>
      <c r="AQ902" s="4"/>
      <c r="AR902" s="4"/>
      <c r="AS902" s="4"/>
      <c r="AT902" s="4"/>
      <c r="AU902" s="4"/>
      <c r="AV902" s="4"/>
      <c r="AX902" s="4"/>
    </row>
    <row r="903" spans="1:50" ht="12.75" customHeight="1" x14ac:dyDescent="0.2">
      <c r="A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N903" s="4"/>
      <c r="AO903" s="4"/>
      <c r="AP903" s="4"/>
      <c r="AQ903" s="4"/>
      <c r="AR903" s="4"/>
      <c r="AS903" s="4"/>
      <c r="AT903" s="4"/>
      <c r="AU903" s="4"/>
      <c r="AV903" s="4"/>
      <c r="AX903" s="4"/>
    </row>
    <row r="904" spans="1:50" ht="12.75" customHeight="1" x14ac:dyDescent="0.2">
      <c r="A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N904" s="4"/>
      <c r="AO904" s="4"/>
      <c r="AP904" s="4"/>
      <c r="AQ904" s="4"/>
      <c r="AR904" s="4"/>
      <c r="AS904" s="4"/>
      <c r="AT904" s="4"/>
      <c r="AU904" s="4"/>
      <c r="AV904" s="4"/>
      <c r="AX904" s="4"/>
    </row>
    <row r="905" spans="1:50" ht="12.75" customHeight="1" x14ac:dyDescent="0.2">
      <c r="A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N905" s="4"/>
      <c r="AO905" s="4"/>
      <c r="AP905" s="4"/>
      <c r="AQ905" s="4"/>
      <c r="AR905" s="4"/>
      <c r="AS905" s="4"/>
      <c r="AT905" s="4"/>
      <c r="AU905" s="4"/>
      <c r="AV905" s="4"/>
      <c r="AX905" s="4"/>
    </row>
    <row r="906" spans="1:50" ht="12.75" customHeight="1" x14ac:dyDescent="0.2">
      <c r="A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N906" s="4"/>
      <c r="AO906" s="4"/>
      <c r="AP906" s="4"/>
      <c r="AQ906" s="4"/>
      <c r="AR906" s="4"/>
      <c r="AS906" s="4"/>
      <c r="AT906" s="4"/>
      <c r="AU906" s="4"/>
      <c r="AV906" s="4"/>
      <c r="AX906" s="4"/>
    </row>
    <row r="907" spans="1:50" ht="12.75" customHeight="1" x14ac:dyDescent="0.2">
      <c r="A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N907" s="4"/>
      <c r="AO907" s="4"/>
      <c r="AP907" s="4"/>
      <c r="AQ907" s="4"/>
      <c r="AR907" s="4"/>
      <c r="AS907" s="4"/>
      <c r="AT907" s="4"/>
      <c r="AU907" s="4"/>
      <c r="AV907" s="4"/>
      <c r="AX907" s="4"/>
    </row>
    <row r="908" spans="1:50" ht="12.75" customHeight="1" x14ac:dyDescent="0.2">
      <c r="A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N908" s="4"/>
      <c r="AO908" s="4"/>
      <c r="AP908" s="4"/>
      <c r="AQ908" s="4"/>
      <c r="AR908" s="4"/>
      <c r="AS908" s="4"/>
      <c r="AT908" s="4"/>
      <c r="AU908" s="4"/>
      <c r="AV908" s="4"/>
      <c r="AX908" s="4"/>
    </row>
    <row r="909" spans="1:50" ht="12.75" customHeight="1" x14ac:dyDescent="0.2">
      <c r="A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N909" s="4"/>
      <c r="AO909" s="4"/>
      <c r="AP909" s="4"/>
      <c r="AQ909" s="4"/>
      <c r="AR909" s="4"/>
      <c r="AS909" s="4"/>
      <c r="AT909" s="4"/>
      <c r="AU909" s="4"/>
      <c r="AV909" s="4"/>
      <c r="AX909" s="4"/>
    </row>
    <row r="910" spans="1:50" ht="12.75" customHeight="1" x14ac:dyDescent="0.2">
      <c r="A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N910" s="4"/>
      <c r="AO910" s="4"/>
      <c r="AP910" s="4"/>
      <c r="AQ910" s="4"/>
      <c r="AR910" s="4"/>
      <c r="AS910" s="4"/>
      <c r="AT910" s="4"/>
      <c r="AU910" s="4"/>
      <c r="AV910" s="4"/>
      <c r="AX910" s="4"/>
    </row>
    <row r="911" spans="1:50" ht="12.75" customHeight="1" x14ac:dyDescent="0.2">
      <c r="A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N911" s="4"/>
      <c r="AO911" s="4"/>
      <c r="AP911" s="4"/>
      <c r="AQ911" s="4"/>
      <c r="AR911" s="4"/>
      <c r="AS911" s="4"/>
      <c r="AT911" s="4"/>
      <c r="AU911" s="4"/>
      <c r="AV911" s="4"/>
      <c r="AX911" s="4"/>
    </row>
    <row r="912" spans="1:50" ht="12.75" customHeight="1" x14ac:dyDescent="0.2">
      <c r="A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N912" s="4"/>
      <c r="AO912" s="4"/>
      <c r="AP912" s="4"/>
      <c r="AQ912" s="4"/>
      <c r="AR912" s="4"/>
      <c r="AS912" s="4"/>
      <c r="AT912" s="4"/>
      <c r="AU912" s="4"/>
      <c r="AV912" s="4"/>
      <c r="AX912" s="4"/>
    </row>
    <row r="913" spans="1:50" ht="12.75" customHeight="1" x14ac:dyDescent="0.2">
      <c r="A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N913" s="4"/>
      <c r="AO913" s="4"/>
      <c r="AP913" s="4"/>
      <c r="AQ913" s="4"/>
      <c r="AR913" s="4"/>
      <c r="AS913" s="4"/>
      <c r="AT913" s="4"/>
      <c r="AU913" s="4"/>
      <c r="AV913" s="4"/>
      <c r="AX913" s="4"/>
    </row>
    <row r="914" spans="1:50" ht="12.75" customHeight="1" x14ac:dyDescent="0.2">
      <c r="A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N914" s="4"/>
      <c r="AO914" s="4"/>
      <c r="AP914" s="4"/>
      <c r="AQ914" s="4"/>
      <c r="AR914" s="4"/>
      <c r="AS914" s="4"/>
      <c r="AT914" s="4"/>
      <c r="AU914" s="4"/>
      <c r="AV914" s="4"/>
      <c r="AX914" s="4"/>
    </row>
    <row r="915" spans="1:50" ht="12.75" customHeight="1" x14ac:dyDescent="0.2">
      <c r="A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N915" s="4"/>
      <c r="AO915" s="4"/>
      <c r="AP915" s="4"/>
      <c r="AQ915" s="4"/>
      <c r="AR915" s="4"/>
      <c r="AS915" s="4"/>
      <c r="AT915" s="4"/>
      <c r="AU915" s="4"/>
      <c r="AV915" s="4"/>
      <c r="AX915" s="4"/>
    </row>
    <row r="916" spans="1:50" ht="12.75" customHeight="1" x14ac:dyDescent="0.2">
      <c r="A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N916" s="4"/>
      <c r="AO916" s="4"/>
      <c r="AP916" s="4"/>
      <c r="AQ916" s="4"/>
      <c r="AR916" s="4"/>
      <c r="AS916" s="4"/>
      <c r="AT916" s="4"/>
      <c r="AU916" s="4"/>
      <c r="AV916" s="4"/>
      <c r="AX916" s="4"/>
    </row>
    <row r="917" spans="1:50" ht="12.75" customHeight="1" x14ac:dyDescent="0.2">
      <c r="A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N917" s="4"/>
      <c r="AO917" s="4"/>
      <c r="AP917" s="4"/>
      <c r="AQ917" s="4"/>
      <c r="AR917" s="4"/>
      <c r="AS917" s="4"/>
      <c r="AT917" s="4"/>
      <c r="AU917" s="4"/>
      <c r="AV917" s="4"/>
      <c r="AX917" s="4"/>
    </row>
    <row r="918" spans="1:50" ht="12.75" customHeight="1" x14ac:dyDescent="0.2">
      <c r="A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N918" s="4"/>
      <c r="AO918" s="4"/>
      <c r="AP918" s="4"/>
      <c r="AQ918" s="4"/>
      <c r="AR918" s="4"/>
      <c r="AS918" s="4"/>
      <c r="AT918" s="4"/>
      <c r="AU918" s="4"/>
      <c r="AV918" s="4"/>
      <c r="AX918" s="4"/>
    </row>
    <row r="919" spans="1:50" ht="12.75" customHeight="1" x14ac:dyDescent="0.2">
      <c r="A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N919" s="4"/>
      <c r="AO919" s="4"/>
      <c r="AP919" s="4"/>
      <c r="AQ919" s="4"/>
      <c r="AR919" s="4"/>
      <c r="AS919" s="4"/>
      <c r="AT919" s="4"/>
      <c r="AU919" s="4"/>
      <c r="AV919" s="4"/>
      <c r="AX919" s="4"/>
    </row>
    <row r="920" spans="1:50" ht="12.75" customHeight="1" x14ac:dyDescent="0.2">
      <c r="A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N920" s="4"/>
      <c r="AO920" s="4"/>
      <c r="AP920" s="4"/>
      <c r="AQ920" s="4"/>
      <c r="AR920" s="4"/>
      <c r="AS920" s="4"/>
      <c r="AT920" s="4"/>
      <c r="AU920" s="4"/>
      <c r="AV920" s="4"/>
      <c r="AX920" s="4"/>
    </row>
    <row r="921" spans="1:50" ht="12.75" customHeight="1" x14ac:dyDescent="0.2">
      <c r="A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N921" s="4"/>
      <c r="AO921" s="4"/>
      <c r="AP921" s="4"/>
      <c r="AQ921" s="4"/>
      <c r="AR921" s="4"/>
      <c r="AS921" s="4"/>
      <c r="AT921" s="4"/>
      <c r="AU921" s="4"/>
      <c r="AV921" s="4"/>
      <c r="AX921" s="4"/>
    </row>
    <row r="922" spans="1:50" ht="12.75" customHeight="1" x14ac:dyDescent="0.2">
      <c r="A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N922" s="4"/>
      <c r="AO922" s="4"/>
      <c r="AP922" s="4"/>
      <c r="AQ922" s="4"/>
      <c r="AR922" s="4"/>
      <c r="AS922" s="4"/>
      <c r="AT922" s="4"/>
      <c r="AU922" s="4"/>
      <c r="AV922" s="4"/>
      <c r="AX922" s="4"/>
    </row>
    <row r="923" spans="1:50" ht="12.75" customHeight="1" x14ac:dyDescent="0.2">
      <c r="A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N923" s="4"/>
      <c r="AO923" s="4"/>
      <c r="AP923" s="4"/>
      <c r="AQ923" s="4"/>
      <c r="AR923" s="4"/>
      <c r="AS923" s="4"/>
      <c r="AT923" s="4"/>
      <c r="AU923" s="4"/>
      <c r="AV923" s="4"/>
      <c r="AX923" s="4"/>
    </row>
    <row r="924" spans="1:50" ht="12.75" customHeight="1" x14ac:dyDescent="0.2">
      <c r="A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N924" s="4"/>
      <c r="AO924" s="4"/>
      <c r="AP924" s="4"/>
      <c r="AQ924" s="4"/>
      <c r="AR924" s="4"/>
      <c r="AS924" s="4"/>
      <c r="AT924" s="4"/>
      <c r="AU924" s="4"/>
      <c r="AV924" s="4"/>
      <c r="AX924" s="4"/>
    </row>
    <row r="925" spans="1:50" ht="12.75" customHeight="1" x14ac:dyDescent="0.2">
      <c r="A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N925" s="4"/>
      <c r="AO925" s="4"/>
      <c r="AP925" s="4"/>
      <c r="AQ925" s="4"/>
      <c r="AR925" s="4"/>
      <c r="AS925" s="4"/>
      <c r="AT925" s="4"/>
      <c r="AU925" s="4"/>
      <c r="AV925" s="4"/>
      <c r="AX925" s="4"/>
    </row>
    <row r="926" spans="1:50" ht="12.75" customHeight="1" x14ac:dyDescent="0.2">
      <c r="A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N926" s="4"/>
      <c r="AO926" s="4"/>
      <c r="AP926" s="4"/>
      <c r="AQ926" s="4"/>
      <c r="AR926" s="4"/>
      <c r="AS926" s="4"/>
      <c r="AT926" s="4"/>
      <c r="AU926" s="4"/>
      <c r="AV926" s="4"/>
      <c r="AX926" s="4"/>
    </row>
    <row r="927" spans="1:50" ht="12.75" customHeight="1" x14ac:dyDescent="0.2">
      <c r="A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N927" s="4"/>
      <c r="AO927" s="4"/>
      <c r="AP927" s="4"/>
      <c r="AQ927" s="4"/>
      <c r="AR927" s="4"/>
      <c r="AS927" s="4"/>
      <c r="AT927" s="4"/>
      <c r="AU927" s="4"/>
      <c r="AV927" s="4"/>
      <c r="AX927" s="4"/>
    </row>
    <row r="928" spans="1:50" ht="12.75" customHeight="1" x14ac:dyDescent="0.2">
      <c r="A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N928" s="4"/>
      <c r="AO928" s="4"/>
      <c r="AP928" s="4"/>
      <c r="AQ928" s="4"/>
      <c r="AR928" s="4"/>
      <c r="AS928" s="4"/>
      <c r="AT928" s="4"/>
      <c r="AU928" s="4"/>
      <c r="AV928" s="4"/>
      <c r="AX928" s="4"/>
    </row>
    <row r="929" spans="1:50" ht="12.75" customHeight="1" x14ac:dyDescent="0.2">
      <c r="A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N929" s="4"/>
      <c r="AO929" s="4"/>
      <c r="AP929" s="4"/>
      <c r="AQ929" s="4"/>
      <c r="AR929" s="4"/>
      <c r="AS929" s="4"/>
      <c r="AT929" s="4"/>
      <c r="AU929" s="4"/>
      <c r="AV929" s="4"/>
      <c r="AX929" s="4"/>
    </row>
    <row r="930" spans="1:50" ht="12.75" customHeight="1" x14ac:dyDescent="0.2">
      <c r="A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N930" s="4"/>
      <c r="AO930" s="4"/>
      <c r="AP930" s="4"/>
      <c r="AQ930" s="4"/>
      <c r="AR930" s="4"/>
      <c r="AS930" s="4"/>
      <c r="AT930" s="4"/>
      <c r="AU930" s="4"/>
      <c r="AV930" s="4"/>
      <c r="AX930" s="4"/>
    </row>
    <row r="931" spans="1:50" ht="12.75" customHeight="1" x14ac:dyDescent="0.2">
      <c r="A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N931" s="4"/>
      <c r="AO931" s="4"/>
      <c r="AP931" s="4"/>
      <c r="AQ931" s="4"/>
      <c r="AR931" s="4"/>
      <c r="AS931" s="4"/>
      <c r="AT931" s="4"/>
      <c r="AU931" s="4"/>
      <c r="AV931" s="4"/>
      <c r="AX931" s="4"/>
    </row>
    <row r="932" spans="1:50" ht="12.75" customHeight="1" x14ac:dyDescent="0.2">
      <c r="A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N932" s="4"/>
      <c r="AO932" s="4"/>
      <c r="AP932" s="4"/>
      <c r="AQ932" s="4"/>
      <c r="AR932" s="4"/>
      <c r="AS932" s="4"/>
      <c r="AT932" s="4"/>
      <c r="AU932" s="4"/>
      <c r="AV932" s="4"/>
      <c r="AX932" s="4"/>
    </row>
    <row r="933" spans="1:50" ht="12.75" customHeight="1" x14ac:dyDescent="0.2">
      <c r="A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N933" s="4"/>
      <c r="AO933" s="4"/>
      <c r="AP933" s="4"/>
      <c r="AQ933" s="4"/>
      <c r="AR933" s="4"/>
      <c r="AS933" s="4"/>
      <c r="AT933" s="4"/>
      <c r="AU933" s="4"/>
      <c r="AV933" s="4"/>
      <c r="AX933" s="4"/>
    </row>
    <row r="934" spans="1:50" ht="12.75" customHeight="1" x14ac:dyDescent="0.2">
      <c r="A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N934" s="4"/>
      <c r="AO934" s="4"/>
      <c r="AP934" s="4"/>
      <c r="AQ934" s="4"/>
      <c r="AR934" s="4"/>
      <c r="AS934" s="4"/>
      <c r="AT934" s="4"/>
      <c r="AU934" s="4"/>
      <c r="AV934" s="4"/>
      <c r="AX934" s="4"/>
    </row>
    <row r="935" spans="1:50" ht="12.75" customHeight="1" x14ac:dyDescent="0.2">
      <c r="A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N935" s="4"/>
      <c r="AO935" s="4"/>
      <c r="AP935" s="4"/>
      <c r="AQ935" s="4"/>
      <c r="AR935" s="4"/>
      <c r="AS935" s="4"/>
      <c r="AT935" s="4"/>
      <c r="AU935" s="4"/>
      <c r="AV935" s="4"/>
      <c r="AX935" s="4"/>
    </row>
    <row r="936" spans="1:50" ht="12.75" customHeight="1" x14ac:dyDescent="0.2">
      <c r="A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N936" s="4"/>
      <c r="AO936" s="4"/>
      <c r="AP936" s="4"/>
      <c r="AQ936" s="4"/>
      <c r="AR936" s="4"/>
      <c r="AS936" s="4"/>
      <c r="AT936" s="4"/>
      <c r="AU936" s="4"/>
      <c r="AV936" s="4"/>
      <c r="AX936" s="4"/>
    </row>
    <row r="937" spans="1:50" ht="12.75" customHeight="1" x14ac:dyDescent="0.2">
      <c r="A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N937" s="4"/>
      <c r="AO937" s="4"/>
      <c r="AP937" s="4"/>
      <c r="AQ937" s="4"/>
      <c r="AR937" s="4"/>
      <c r="AS937" s="4"/>
      <c r="AT937" s="4"/>
      <c r="AU937" s="4"/>
      <c r="AV937" s="4"/>
      <c r="AX937" s="4"/>
    </row>
    <row r="938" spans="1:50" ht="12.75" customHeight="1" x14ac:dyDescent="0.2">
      <c r="A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N938" s="4"/>
      <c r="AO938" s="4"/>
      <c r="AP938" s="4"/>
      <c r="AQ938" s="4"/>
      <c r="AR938" s="4"/>
      <c r="AS938" s="4"/>
      <c r="AT938" s="4"/>
      <c r="AU938" s="4"/>
      <c r="AV938" s="4"/>
      <c r="AX938" s="4"/>
    </row>
    <row r="939" spans="1:50" ht="12.75" customHeight="1" x14ac:dyDescent="0.2">
      <c r="A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N939" s="4"/>
      <c r="AO939" s="4"/>
      <c r="AP939" s="4"/>
      <c r="AQ939" s="4"/>
      <c r="AR939" s="4"/>
      <c r="AS939" s="4"/>
      <c r="AT939" s="4"/>
      <c r="AU939" s="4"/>
      <c r="AV939" s="4"/>
      <c r="AX939" s="4"/>
    </row>
    <row r="940" spans="1:50" ht="12.75" customHeight="1" x14ac:dyDescent="0.2">
      <c r="A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N940" s="4"/>
      <c r="AO940" s="4"/>
      <c r="AP940" s="4"/>
      <c r="AQ940" s="4"/>
      <c r="AR940" s="4"/>
      <c r="AS940" s="4"/>
      <c r="AT940" s="4"/>
      <c r="AU940" s="4"/>
      <c r="AV940" s="4"/>
      <c r="AX940" s="4"/>
    </row>
    <row r="941" spans="1:50" ht="12.75" customHeight="1" x14ac:dyDescent="0.2">
      <c r="A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N941" s="4"/>
      <c r="AO941" s="4"/>
      <c r="AP941" s="4"/>
      <c r="AQ941" s="4"/>
      <c r="AR941" s="4"/>
      <c r="AS941" s="4"/>
      <c r="AT941" s="4"/>
      <c r="AU941" s="4"/>
      <c r="AV941" s="4"/>
      <c r="AX941" s="4"/>
    </row>
    <row r="942" spans="1:50" ht="12.75" customHeight="1" x14ac:dyDescent="0.2">
      <c r="A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N942" s="4"/>
      <c r="AO942" s="4"/>
      <c r="AP942" s="4"/>
      <c r="AQ942" s="4"/>
      <c r="AR942" s="4"/>
      <c r="AS942" s="4"/>
      <c r="AT942" s="4"/>
      <c r="AU942" s="4"/>
      <c r="AV942" s="4"/>
      <c r="AX942" s="4"/>
    </row>
    <row r="943" spans="1:50" ht="12.75" customHeight="1" x14ac:dyDescent="0.2">
      <c r="A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N943" s="4"/>
      <c r="AO943" s="4"/>
      <c r="AP943" s="4"/>
      <c r="AQ943" s="4"/>
      <c r="AR943" s="4"/>
      <c r="AS943" s="4"/>
      <c r="AT943" s="4"/>
      <c r="AU943" s="4"/>
      <c r="AV943" s="4"/>
      <c r="AX943" s="4"/>
    </row>
    <row r="944" spans="1:50" ht="12.75" customHeight="1" x14ac:dyDescent="0.2">
      <c r="A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N944" s="4"/>
      <c r="AO944" s="4"/>
      <c r="AP944" s="4"/>
      <c r="AQ944" s="4"/>
      <c r="AR944" s="4"/>
      <c r="AS944" s="4"/>
      <c r="AT944" s="4"/>
      <c r="AU944" s="4"/>
      <c r="AV944" s="4"/>
      <c r="AX944" s="4"/>
    </row>
    <row r="945" spans="1:50" ht="12.75" customHeight="1" x14ac:dyDescent="0.2">
      <c r="A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N945" s="4"/>
      <c r="AO945" s="4"/>
      <c r="AP945" s="4"/>
      <c r="AQ945" s="4"/>
      <c r="AR945" s="4"/>
      <c r="AS945" s="4"/>
      <c r="AT945" s="4"/>
      <c r="AU945" s="4"/>
      <c r="AV945" s="4"/>
      <c r="AX945" s="4"/>
    </row>
    <row r="946" spans="1:50" ht="12.75" customHeight="1" x14ac:dyDescent="0.2">
      <c r="A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N946" s="4"/>
      <c r="AO946" s="4"/>
      <c r="AP946" s="4"/>
      <c r="AQ946" s="4"/>
      <c r="AR946" s="4"/>
      <c r="AS946" s="4"/>
      <c r="AT946" s="4"/>
      <c r="AU946" s="4"/>
      <c r="AV946" s="4"/>
      <c r="AX946" s="4"/>
    </row>
    <row r="947" spans="1:50" ht="12.75" customHeight="1" x14ac:dyDescent="0.2">
      <c r="A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N947" s="4"/>
      <c r="AO947" s="4"/>
      <c r="AP947" s="4"/>
      <c r="AQ947" s="4"/>
      <c r="AR947" s="4"/>
      <c r="AS947" s="4"/>
      <c r="AT947" s="4"/>
      <c r="AU947" s="4"/>
      <c r="AV947" s="4"/>
      <c r="AX947" s="4"/>
    </row>
    <row r="948" spans="1:50" ht="12.75" customHeight="1" x14ac:dyDescent="0.2">
      <c r="A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N948" s="4"/>
      <c r="AO948" s="4"/>
      <c r="AP948" s="4"/>
      <c r="AQ948" s="4"/>
      <c r="AR948" s="4"/>
      <c r="AS948" s="4"/>
      <c r="AT948" s="4"/>
      <c r="AU948" s="4"/>
      <c r="AV948" s="4"/>
      <c r="AX948" s="4"/>
    </row>
    <row r="949" spans="1:50" ht="12.75" customHeight="1" x14ac:dyDescent="0.2">
      <c r="A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N949" s="4"/>
      <c r="AO949" s="4"/>
      <c r="AP949" s="4"/>
      <c r="AQ949" s="4"/>
      <c r="AR949" s="4"/>
      <c r="AS949" s="4"/>
      <c r="AT949" s="4"/>
      <c r="AU949" s="4"/>
      <c r="AV949" s="4"/>
      <c r="AX949" s="4"/>
    </row>
    <row r="950" spans="1:50" ht="12.75" customHeight="1" x14ac:dyDescent="0.2">
      <c r="A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N950" s="4"/>
      <c r="AO950" s="4"/>
      <c r="AP950" s="4"/>
      <c r="AQ950" s="4"/>
      <c r="AR950" s="4"/>
      <c r="AS950" s="4"/>
      <c r="AT950" s="4"/>
      <c r="AU950" s="4"/>
      <c r="AV950" s="4"/>
      <c r="AX950" s="4"/>
    </row>
    <row r="951" spans="1:50" ht="12.75" customHeight="1" x14ac:dyDescent="0.2">
      <c r="A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N951" s="4"/>
      <c r="AO951" s="4"/>
      <c r="AP951" s="4"/>
      <c r="AQ951" s="4"/>
      <c r="AR951" s="4"/>
      <c r="AS951" s="4"/>
      <c r="AT951" s="4"/>
      <c r="AU951" s="4"/>
      <c r="AV951" s="4"/>
      <c r="AX951" s="4"/>
    </row>
    <row r="952" spans="1:50" ht="12.75" customHeight="1" x14ac:dyDescent="0.2">
      <c r="A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N952" s="4"/>
      <c r="AO952" s="4"/>
      <c r="AP952" s="4"/>
      <c r="AQ952" s="4"/>
      <c r="AR952" s="4"/>
      <c r="AS952" s="4"/>
      <c r="AT952" s="4"/>
      <c r="AU952" s="4"/>
      <c r="AV952" s="4"/>
      <c r="AX952" s="4"/>
    </row>
    <row r="953" spans="1:50" ht="12.75" customHeight="1" x14ac:dyDescent="0.2">
      <c r="A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N953" s="4"/>
      <c r="AO953" s="4"/>
      <c r="AP953" s="4"/>
      <c r="AQ953" s="4"/>
      <c r="AR953" s="4"/>
      <c r="AS953" s="4"/>
      <c r="AT953" s="4"/>
      <c r="AU953" s="4"/>
      <c r="AV953" s="4"/>
      <c r="AX953" s="4"/>
    </row>
    <row r="954" spans="1:50" ht="12.75" customHeight="1" x14ac:dyDescent="0.2">
      <c r="A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N954" s="4"/>
      <c r="AO954" s="4"/>
      <c r="AP954" s="4"/>
      <c r="AQ954" s="4"/>
      <c r="AR954" s="4"/>
      <c r="AS954" s="4"/>
      <c r="AT954" s="4"/>
      <c r="AU954" s="4"/>
      <c r="AV954" s="4"/>
      <c r="AX954" s="4"/>
    </row>
    <row r="955" spans="1:50" ht="12.75" customHeight="1" x14ac:dyDescent="0.2">
      <c r="A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N955" s="4"/>
      <c r="AO955" s="4"/>
      <c r="AP955" s="4"/>
      <c r="AQ955" s="4"/>
      <c r="AR955" s="4"/>
      <c r="AS955" s="4"/>
      <c r="AT955" s="4"/>
      <c r="AU955" s="4"/>
      <c r="AV955" s="4"/>
      <c r="AX955" s="4"/>
    </row>
    <row r="956" spans="1:50" ht="12.75" customHeight="1" x14ac:dyDescent="0.2">
      <c r="A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N956" s="4"/>
      <c r="AO956" s="4"/>
      <c r="AP956" s="4"/>
      <c r="AQ956" s="4"/>
      <c r="AR956" s="4"/>
      <c r="AS956" s="4"/>
      <c r="AT956" s="4"/>
      <c r="AU956" s="4"/>
      <c r="AV956" s="4"/>
      <c r="AX956" s="4"/>
    </row>
    <row r="957" spans="1:50" ht="12.75" customHeight="1" x14ac:dyDescent="0.2">
      <c r="A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N957" s="4"/>
      <c r="AO957" s="4"/>
      <c r="AP957" s="4"/>
      <c r="AQ957" s="4"/>
      <c r="AR957" s="4"/>
      <c r="AS957" s="4"/>
      <c r="AT957" s="4"/>
      <c r="AU957" s="4"/>
      <c r="AV957" s="4"/>
      <c r="AX957" s="4"/>
    </row>
    <row r="958" spans="1:50" ht="12.75" customHeight="1" x14ac:dyDescent="0.2">
      <c r="A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N958" s="4"/>
      <c r="AO958" s="4"/>
      <c r="AP958" s="4"/>
      <c r="AQ958" s="4"/>
      <c r="AR958" s="4"/>
      <c r="AS958" s="4"/>
      <c r="AT958" s="4"/>
      <c r="AU958" s="4"/>
      <c r="AV958" s="4"/>
      <c r="AX958" s="4"/>
    </row>
    <row r="959" spans="1:50" ht="12.75" customHeight="1" x14ac:dyDescent="0.2">
      <c r="A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N959" s="4"/>
      <c r="AO959" s="4"/>
      <c r="AP959" s="4"/>
      <c r="AQ959" s="4"/>
      <c r="AR959" s="4"/>
      <c r="AS959" s="4"/>
      <c r="AT959" s="4"/>
      <c r="AU959" s="4"/>
      <c r="AV959" s="4"/>
      <c r="AX959" s="4"/>
    </row>
    <row r="960" spans="1:50" ht="12.75" customHeight="1" x14ac:dyDescent="0.2">
      <c r="A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N960" s="4"/>
      <c r="AO960" s="4"/>
      <c r="AP960" s="4"/>
      <c r="AQ960" s="4"/>
      <c r="AR960" s="4"/>
      <c r="AS960" s="4"/>
      <c r="AT960" s="4"/>
      <c r="AU960" s="4"/>
      <c r="AV960" s="4"/>
      <c r="AX960" s="4"/>
    </row>
    <row r="961" spans="1:50" ht="12.75" customHeight="1" x14ac:dyDescent="0.2">
      <c r="A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N961" s="4"/>
      <c r="AO961" s="4"/>
      <c r="AP961" s="4"/>
      <c r="AQ961" s="4"/>
      <c r="AR961" s="4"/>
      <c r="AS961" s="4"/>
      <c r="AT961" s="4"/>
      <c r="AU961" s="4"/>
      <c r="AV961" s="4"/>
      <c r="AX961" s="4"/>
    </row>
    <row r="962" spans="1:50" ht="12.75" customHeight="1" x14ac:dyDescent="0.2">
      <c r="A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N962" s="4"/>
      <c r="AO962" s="4"/>
      <c r="AP962" s="4"/>
      <c r="AQ962" s="4"/>
      <c r="AR962" s="4"/>
      <c r="AS962" s="4"/>
      <c r="AT962" s="4"/>
      <c r="AU962" s="4"/>
      <c r="AV962" s="4"/>
      <c r="AX962" s="4"/>
    </row>
    <row r="963" spans="1:50" ht="12.75" customHeight="1" x14ac:dyDescent="0.2">
      <c r="A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N963" s="4"/>
      <c r="AO963" s="4"/>
      <c r="AP963" s="4"/>
      <c r="AQ963" s="4"/>
      <c r="AR963" s="4"/>
      <c r="AS963" s="4"/>
      <c r="AT963" s="4"/>
      <c r="AU963" s="4"/>
      <c r="AV963" s="4"/>
      <c r="AX963" s="4"/>
    </row>
    <row r="964" spans="1:50" ht="12.75" customHeight="1" x14ac:dyDescent="0.2">
      <c r="A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N964" s="4"/>
      <c r="AO964" s="4"/>
      <c r="AP964" s="4"/>
      <c r="AQ964" s="4"/>
      <c r="AR964" s="4"/>
      <c r="AS964" s="4"/>
      <c r="AT964" s="4"/>
      <c r="AU964" s="4"/>
      <c r="AV964" s="4"/>
      <c r="AX964" s="4"/>
    </row>
    <row r="965" spans="1:50" ht="12.75" customHeight="1" x14ac:dyDescent="0.2">
      <c r="A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N965" s="4"/>
      <c r="AO965" s="4"/>
      <c r="AP965" s="4"/>
      <c r="AQ965" s="4"/>
      <c r="AR965" s="4"/>
      <c r="AS965" s="4"/>
      <c r="AT965" s="4"/>
      <c r="AU965" s="4"/>
      <c r="AV965" s="4"/>
      <c r="AX965" s="4"/>
    </row>
    <row r="966" spans="1:50" ht="12.75" customHeight="1" x14ac:dyDescent="0.2">
      <c r="A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N966" s="4"/>
      <c r="AO966" s="4"/>
      <c r="AP966" s="4"/>
      <c r="AQ966" s="4"/>
      <c r="AR966" s="4"/>
      <c r="AS966" s="4"/>
      <c r="AT966" s="4"/>
      <c r="AU966" s="4"/>
      <c r="AV966" s="4"/>
      <c r="AX966" s="4"/>
    </row>
    <row r="967" spans="1:50" ht="12.75" customHeight="1" x14ac:dyDescent="0.2">
      <c r="A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N967" s="4"/>
      <c r="AO967" s="4"/>
      <c r="AP967" s="4"/>
      <c r="AQ967" s="4"/>
      <c r="AR967" s="4"/>
      <c r="AS967" s="4"/>
      <c r="AT967" s="4"/>
      <c r="AU967" s="4"/>
      <c r="AV967" s="4"/>
      <c r="AX967" s="4"/>
    </row>
    <row r="968" spans="1:50" ht="12.75" customHeight="1" x14ac:dyDescent="0.2">
      <c r="A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N968" s="4"/>
      <c r="AO968" s="4"/>
      <c r="AP968" s="4"/>
      <c r="AQ968" s="4"/>
      <c r="AR968" s="4"/>
      <c r="AS968" s="4"/>
      <c r="AT968" s="4"/>
      <c r="AU968" s="4"/>
      <c r="AV968" s="4"/>
      <c r="AX968" s="4"/>
    </row>
    <row r="969" spans="1:50" ht="12.75" customHeight="1" x14ac:dyDescent="0.2">
      <c r="A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N969" s="4"/>
      <c r="AO969" s="4"/>
      <c r="AP969" s="4"/>
      <c r="AQ969" s="4"/>
      <c r="AR969" s="4"/>
      <c r="AS969" s="4"/>
      <c r="AT969" s="4"/>
      <c r="AU969" s="4"/>
      <c r="AV969" s="4"/>
      <c r="AX969" s="4"/>
    </row>
    <row r="970" spans="1:50" ht="12.75" customHeight="1" x14ac:dyDescent="0.2">
      <c r="A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N970" s="4"/>
      <c r="AO970" s="4"/>
      <c r="AP970" s="4"/>
      <c r="AQ970" s="4"/>
      <c r="AR970" s="4"/>
      <c r="AS970" s="4"/>
      <c r="AT970" s="4"/>
      <c r="AU970" s="4"/>
      <c r="AV970" s="4"/>
      <c r="AX970" s="4"/>
    </row>
    <row r="971" spans="1:50" ht="12.75" customHeight="1" x14ac:dyDescent="0.2">
      <c r="A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N971" s="4"/>
      <c r="AO971" s="4"/>
      <c r="AP971" s="4"/>
      <c r="AQ971" s="4"/>
      <c r="AR971" s="4"/>
      <c r="AS971" s="4"/>
      <c r="AT971" s="4"/>
      <c r="AU971" s="4"/>
      <c r="AV971" s="4"/>
      <c r="AX971" s="4"/>
    </row>
    <row r="972" spans="1:50" ht="12.75" customHeight="1" x14ac:dyDescent="0.2">
      <c r="A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N972" s="4"/>
      <c r="AO972" s="4"/>
      <c r="AP972" s="4"/>
      <c r="AQ972" s="4"/>
      <c r="AR972" s="4"/>
      <c r="AS972" s="4"/>
      <c r="AT972" s="4"/>
      <c r="AU972" s="4"/>
      <c r="AV972" s="4"/>
      <c r="AX972" s="4"/>
    </row>
    <row r="973" spans="1:50" ht="12.75" customHeight="1" x14ac:dyDescent="0.2">
      <c r="A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N973" s="4"/>
      <c r="AO973" s="4"/>
      <c r="AP973" s="4"/>
      <c r="AQ973" s="4"/>
      <c r="AR973" s="4"/>
      <c r="AS973" s="4"/>
      <c r="AT973" s="4"/>
      <c r="AU973" s="4"/>
      <c r="AV973" s="4"/>
      <c r="AX973" s="4"/>
    </row>
    <row r="974" spans="1:50" ht="12.75" customHeight="1" x14ac:dyDescent="0.2">
      <c r="A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N974" s="4"/>
      <c r="AO974" s="4"/>
      <c r="AP974" s="4"/>
      <c r="AQ974" s="4"/>
      <c r="AR974" s="4"/>
      <c r="AS974" s="4"/>
      <c r="AT974" s="4"/>
      <c r="AU974" s="4"/>
      <c r="AV974" s="4"/>
      <c r="AX974" s="4"/>
    </row>
    <row r="975" spans="1:50" ht="12.75" customHeight="1" x14ac:dyDescent="0.2">
      <c r="A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N975" s="4"/>
      <c r="AO975" s="4"/>
      <c r="AP975" s="4"/>
      <c r="AQ975" s="4"/>
      <c r="AR975" s="4"/>
      <c r="AS975" s="4"/>
      <c r="AT975" s="4"/>
      <c r="AU975" s="4"/>
      <c r="AV975" s="4"/>
      <c r="AX975" s="4"/>
    </row>
    <row r="976" spans="1:50" ht="12.75" customHeight="1" x14ac:dyDescent="0.2">
      <c r="A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N976" s="4"/>
      <c r="AO976" s="4"/>
      <c r="AP976" s="4"/>
      <c r="AQ976" s="4"/>
      <c r="AR976" s="4"/>
      <c r="AS976" s="4"/>
      <c r="AT976" s="4"/>
      <c r="AU976" s="4"/>
      <c r="AV976" s="4"/>
      <c r="AX976" s="4"/>
    </row>
    <row r="977" spans="1:50" ht="12.75" customHeight="1" x14ac:dyDescent="0.2">
      <c r="A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N977" s="4"/>
      <c r="AO977" s="4"/>
      <c r="AP977" s="4"/>
      <c r="AQ977" s="4"/>
      <c r="AR977" s="4"/>
      <c r="AS977" s="4"/>
      <c r="AT977" s="4"/>
      <c r="AU977" s="4"/>
      <c r="AV977" s="4"/>
      <c r="AX977" s="4"/>
    </row>
    <row r="978" spans="1:50" ht="12.75" customHeight="1" x14ac:dyDescent="0.2">
      <c r="A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N978" s="4"/>
      <c r="AO978" s="4"/>
      <c r="AP978" s="4"/>
      <c r="AQ978" s="4"/>
      <c r="AR978" s="4"/>
      <c r="AS978" s="4"/>
      <c r="AT978" s="4"/>
      <c r="AU978" s="4"/>
      <c r="AV978" s="4"/>
      <c r="AX978" s="4"/>
    </row>
    <row r="979" spans="1:50" ht="12.75" customHeight="1" x14ac:dyDescent="0.2">
      <c r="A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N979" s="4"/>
      <c r="AO979" s="4"/>
      <c r="AP979" s="4"/>
      <c r="AQ979" s="4"/>
      <c r="AR979" s="4"/>
      <c r="AS979" s="4"/>
      <c r="AT979" s="4"/>
      <c r="AU979" s="4"/>
      <c r="AV979" s="4"/>
      <c r="AX979" s="4"/>
    </row>
    <row r="980" spans="1:50" ht="12.75" customHeight="1" x14ac:dyDescent="0.2">
      <c r="A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N980" s="4"/>
      <c r="AO980" s="4"/>
      <c r="AP980" s="4"/>
      <c r="AQ980" s="4"/>
      <c r="AR980" s="4"/>
      <c r="AS980" s="4"/>
      <c r="AT980" s="4"/>
      <c r="AU980" s="4"/>
      <c r="AV980" s="4"/>
      <c r="AX980" s="4"/>
    </row>
    <row r="981" spans="1:50" ht="12.75" customHeight="1" x14ac:dyDescent="0.2">
      <c r="A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N981" s="4"/>
      <c r="AO981" s="4"/>
      <c r="AP981" s="4"/>
      <c r="AQ981" s="4"/>
      <c r="AR981" s="4"/>
      <c r="AS981" s="4"/>
      <c r="AT981" s="4"/>
      <c r="AU981" s="4"/>
      <c r="AV981" s="4"/>
      <c r="AX981" s="4"/>
    </row>
    <row r="982" spans="1:50" ht="12.75" customHeight="1" x14ac:dyDescent="0.2">
      <c r="A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N982" s="4"/>
      <c r="AO982" s="4"/>
      <c r="AP982" s="4"/>
      <c r="AQ982" s="4"/>
      <c r="AR982" s="4"/>
      <c r="AS982" s="4"/>
      <c r="AT982" s="4"/>
      <c r="AU982" s="4"/>
      <c r="AV982" s="4"/>
      <c r="AX982" s="4"/>
    </row>
    <row r="983" spans="1:50" ht="12.75" customHeight="1" x14ac:dyDescent="0.2">
      <c r="A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N983" s="4"/>
      <c r="AO983" s="4"/>
      <c r="AP983" s="4"/>
      <c r="AQ983" s="4"/>
      <c r="AR983" s="4"/>
      <c r="AS983" s="4"/>
      <c r="AT983" s="4"/>
      <c r="AU983" s="4"/>
      <c r="AV983" s="4"/>
      <c r="AX983" s="4"/>
    </row>
    <row r="984" spans="1:50" ht="12.75" customHeight="1" x14ac:dyDescent="0.2">
      <c r="A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N984" s="4"/>
      <c r="AO984" s="4"/>
      <c r="AP984" s="4"/>
      <c r="AQ984" s="4"/>
      <c r="AR984" s="4"/>
      <c r="AS984" s="4"/>
      <c r="AT984" s="4"/>
      <c r="AU984" s="4"/>
      <c r="AV984" s="4"/>
      <c r="AX984" s="4"/>
    </row>
    <row r="985" spans="1:50" ht="12.75" customHeight="1" x14ac:dyDescent="0.2">
      <c r="A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N985" s="4"/>
      <c r="AO985" s="4"/>
      <c r="AP985" s="4"/>
      <c r="AQ985" s="4"/>
      <c r="AR985" s="4"/>
      <c r="AS985" s="4"/>
      <c r="AT985" s="4"/>
      <c r="AU985" s="4"/>
      <c r="AV985" s="4"/>
      <c r="AX985" s="4"/>
    </row>
    <row r="986" spans="1:50" ht="12.75" customHeight="1" x14ac:dyDescent="0.2">
      <c r="A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N986" s="4"/>
      <c r="AO986" s="4"/>
      <c r="AP986" s="4"/>
      <c r="AQ986" s="4"/>
      <c r="AR986" s="4"/>
      <c r="AS986" s="4"/>
      <c r="AT986" s="4"/>
      <c r="AU986" s="4"/>
      <c r="AV986" s="4"/>
      <c r="AX986" s="4"/>
    </row>
    <row r="987" spans="1:50" ht="12.75" customHeight="1" x14ac:dyDescent="0.2">
      <c r="A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N987" s="4"/>
      <c r="AO987" s="4"/>
      <c r="AP987" s="4"/>
      <c r="AQ987" s="4"/>
      <c r="AR987" s="4"/>
      <c r="AS987" s="4"/>
      <c r="AT987" s="4"/>
      <c r="AU987" s="4"/>
      <c r="AV987" s="4"/>
      <c r="AX987" s="4"/>
    </row>
    <row r="988" spans="1:50" ht="12.75" customHeight="1" x14ac:dyDescent="0.2">
      <c r="A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N988" s="4"/>
      <c r="AO988" s="4"/>
      <c r="AP988" s="4"/>
      <c r="AQ988" s="4"/>
      <c r="AR988" s="4"/>
      <c r="AS988" s="4"/>
      <c r="AT988" s="4"/>
      <c r="AU988" s="4"/>
      <c r="AV988" s="4"/>
      <c r="AX988" s="4"/>
    </row>
    <row r="989" spans="1:50" ht="12.75" customHeight="1" x14ac:dyDescent="0.2">
      <c r="A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N989" s="4"/>
      <c r="AO989" s="4"/>
      <c r="AP989" s="4"/>
      <c r="AQ989" s="4"/>
      <c r="AR989" s="4"/>
      <c r="AS989" s="4"/>
      <c r="AT989" s="4"/>
      <c r="AU989" s="4"/>
      <c r="AV989" s="4"/>
      <c r="AX989" s="4"/>
    </row>
    <row r="990" spans="1:50" ht="12.75" customHeight="1" x14ac:dyDescent="0.2">
      <c r="A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N990" s="4"/>
      <c r="AO990" s="4"/>
      <c r="AP990" s="4"/>
      <c r="AQ990" s="4"/>
      <c r="AR990" s="4"/>
      <c r="AS990" s="4"/>
      <c r="AT990" s="4"/>
      <c r="AU990" s="4"/>
      <c r="AV990" s="4"/>
      <c r="AX990" s="4"/>
    </row>
    <row r="991" spans="1:50" ht="12.75" customHeight="1" x14ac:dyDescent="0.2">
      <c r="A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N991" s="4"/>
      <c r="AO991" s="4"/>
      <c r="AP991" s="4"/>
      <c r="AQ991" s="4"/>
      <c r="AR991" s="4"/>
      <c r="AS991" s="4"/>
      <c r="AT991" s="4"/>
      <c r="AU991" s="4"/>
      <c r="AV991" s="4"/>
      <c r="AX991" s="4"/>
    </row>
    <row r="992" spans="1:50" ht="12.75" customHeight="1" x14ac:dyDescent="0.2">
      <c r="A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N992" s="4"/>
      <c r="AO992" s="4"/>
      <c r="AP992" s="4"/>
      <c r="AQ992" s="4"/>
      <c r="AR992" s="4"/>
      <c r="AS992" s="4"/>
      <c r="AT992" s="4"/>
      <c r="AU992" s="4"/>
      <c r="AV992" s="4"/>
      <c r="AX992" s="4"/>
    </row>
    <row r="993" spans="1:50" ht="12.75" customHeight="1" x14ac:dyDescent="0.2">
      <c r="A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N993" s="4"/>
      <c r="AO993" s="4"/>
      <c r="AP993" s="4"/>
      <c r="AQ993" s="4"/>
      <c r="AR993" s="4"/>
      <c r="AS993" s="4"/>
      <c r="AT993" s="4"/>
      <c r="AU993" s="4"/>
      <c r="AV993" s="4"/>
      <c r="AX993" s="4"/>
    </row>
    <row r="994" spans="1:50" ht="12.75" customHeight="1" x14ac:dyDescent="0.2">
      <c r="A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N994" s="4"/>
      <c r="AO994" s="4"/>
      <c r="AP994" s="4"/>
      <c r="AQ994" s="4"/>
      <c r="AR994" s="4"/>
      <c r="AS994" s="4"/>
      <c r="AT994" s="4"/>
      <c r="AU994" s="4"/>
      <c r="AV994" s="4"/>
      <c r="AX994" s="4"/>
    </row>
    <row r="995" spans="1:50" ht="12.75" customHeight="1" x14ac:dyDescent="0.2">
      <c r="A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N995" s="4"/>
      <c r="AO995" s="4"/>
      <c r="AP995" s="4"/>
      <c r="AQ995" s="4"/>
      <c r="AR995" s="4"/>
      <c r="AS995" s="4"/>
      <c r="AT995" s="4"/>
      <c r="AU995" s="4"/>
      <c r="AV995" s="4"/>
      <c r="AX995" s="4"/>
    </row>
    <row r="996" spans="1:50" ht="12.75" x14ac:dyDescent="0.2">
      <c r="A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N996" s="4"/>
      <c r="AO996" s="4"/>
      <c r="AP996" s="4"/>
      <c r="AQ996" s="4"/>
      <c r="AR996" s="4"/>
      <c r="AS996" s="4"/>
      <c r="AT996" s="4"/>
      <c r="AU996" s="4"/>
      <c r="AV996" s="4"/>
      <c r="AX996" s="4"/>
    </row>
    <row r="997" spans="1:50" ht="12.75" x14ac:dyDescent="0.2">
      <c r="A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N997" s="4"/>
      <c r="AO997" s="4"/>
      <c r="AP997" s="4"/>
      <c r="AQ997" s="4"/>
      <c r="AR997" s="4"/>
      <c r="AS997" s="4"/>
      <c r="AT997" s="4"/>
      <c r="AU997" s="4"/>
      <c r="AV997" s="4"/>
      <c r="AX997" s="4"/>
    </row>
    <row r="998" spans="1:50" ht="12.75" x14ac:dyDescent="0.2">
      <c r="A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N998" s="4"/>
      <c r="AO998" s="4"/>
      <c r="AP998" s="4"/>
      <c r="AQ998" s="4"/>
      <c r="AR998" s="4"/>
      <c r="AS998" s="4"/>
      <c r="AT998" s="4"/>
      <c r="AU998" s="4"/>
      <c r="AV998" s="4"/>
      <c r="AX998" s="4"/>
    </row>
    <row r="999" spans="1:50" ht="12.75" x14ac:dyDescent="0.2">
      <c r="A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N999" s="4"/>
      <c r="AO999" s="4"/>
      <c r="AP999" s="4"/>
      <c r="AQ999" s="4"/>
      <c r="AR999" s="4"/>
      <c r="AS999" s="4"/>
      <c r="AT999" s="4"/>
      <c r="AU999" s="4"/>
      <c r="AV999" s="4"/>
      <c r="AX999" s="4"/>
    </row>
    <row r="1000" spans="1:50" ht="12.75" x14ac:dyDescent="0.2">
      <c r="A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N1000" s="4"/>
      <c r="AO1000" s="4"/>
      <c r="AP1000" s="4"/>
      <c r="AQ1000" s="4"/>
      <c r="AR1000" s="4"/>
      <c r="AS1000" s="4"/>
      <c r="AT1000" s="4"/>
      <c r="AU1000" s="4"/>
      <c r="AV1000" s="4"/>
      <c r="AX1000" s="4"/>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5"/>
  <sheetViews>
    <sheetView workbookViewId="0"/>
  </sheetViews>
  <sheetFormatPr defaultColWidth="12.5703125" defaultRowHeight="15" customHeight="1" x14ac:dyDescent="0.2"/>
  <cols>
    <col min="2" max="2" width="123.28515625" customWidth="1"/>
  </cols>
  <sheetData>
    <row r="1" spans="1:2" ht="12.75" x14ac:dyDescent="0.2">
      <c r="A1" s="25" t="s">
        <v>945</v>
      </c>
      <c r="B1" s="25" t="s">
        <v>946</v>
      </c>
    </row>
    <row r="2" spans="1:2" ht="75" customHeight="1" x14ac:dyDescent="0.2">
      <c r="A2" s="25" t="s">
        <v>72</v>
      </c>
      <c r="B2" s="26" t="s">
        <v>947</v>
      </c>
    </row>
    <row r="3" spans="1:2" ht="75" customHeight="1" x14ac:dyDescent="0.2">
      <c r="A3" s="25" t="s">
        <v>73</v>
      </c>
      <c r="B3" s="27" t="s">
        <v>948</v>
      </c>
    </row>
    <row r="4" spans="1:2" ht="75" customHeight="1" x14ac:dyDescent="0.2">
      <c r="A4" s="25" t="s">
        <v>74</v>
      </c>
      <c r="B4" s="27" t="s">
        <v>949</v>
      </c>
    </row>
    <row r="5" spans="1:2" ht="25.5" x14ac:dyDescent="0.2">
      <c r="A5" s="25" t="s">
        <v>1051</v>
      </c>
      <c r="B5" s="27" t="s">
        <v>1052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Glossary</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Rong</dc:creator>
  <cp:lastModifiedBy>Eamonn</cp:lastModifiedBy>
  <dcterms:created xsi:type="dcterms:W3CDTF">2025-10-15T21:26:32Z</dcterms:created>
  <dcterms:modified xsi:type="dcterms:W3CDTF">2026-07-14T01:05:00Z</dcterms:modified>
</cp:coreProperties>
</file>