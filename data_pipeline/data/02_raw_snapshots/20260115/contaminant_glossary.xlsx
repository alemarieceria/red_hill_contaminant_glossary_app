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tion" sheetId="1" r:id="rId4"/>
    <sheet state="visible" name="Glossary" sheetId="2" r:id="rId5"/>
  </sheets>
  <definedNames/>
  <calcPr/>
  <extLst>
    <ext uri="GoogleSheetsCustomDataVersion2">
      <go:sheetsCustomData xmlns:go="http://customooxmlschemas.google.com/" r:id="rId6" roundtripDataChecksum="uPzN+XJDBwwUJw35pbzkkDgU//WDKIRkhSgwIgl6+2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======
ID#AAAB0Ml_2XA
Eamonn    (2026-02-11 23:24:14)
Need to look more into PAHs</t>
      </text>
    </comment>
    <comment authorId="0" ref="AH1">
      <text>
        <t xml:space="preserve">======
ID#AAAByhe581M
Eamonn Clarke    (2026-01-13 01:21:15)
@alemarie@hawaii.edu if the compound is listed on this EPA page: https://www.epa.gov/ozone-layer-protection/ozone-depleting-substances mark TRUE
_Assigned to alemarie@hawaii.edu_</t>
      </text>
    </comment>
    <comment authorId="0" ref="AE1">
      <text>
        <t xml:space="preserve">======
ID#AAAByhe581I
Eamonn Clarke    (2026-01-13 01:19:42)
@alemarie@hawaii.edu please copy MCL and MCLG values from this site: https://www.epa.gov/ground-water-and-drinking-water/national-primary-drinking-water-regulations
_Assigned to alemarie@hawaii.edu_</t>
      </text>
    </comment>
    <comment authorId="0" ref="N1">
      <text>
        <t xml:space="preserve">======
ID#AAAByhe581E
Eamonn Clarke    (2026-01-13 01:18:25)
@etclarke@hawaii.edu put together a challenge set of formulas for Alemarie to use in testing code for counting atoms in a molecular formula.
_Assigned to etclarke@hawaii.edu_</t>
      </text>
    </comment>
    <comment authorId="0" ref="M1">
      <text>
        <t xml:space="preserve">======
ID#AAAByhe581A
Eamonn Clarke    (2026-01-13 01:15:23)
@alemarie@hawaii.edu as with Insecticide, search "herbicide", "defoliant", etc.
_Assigned to alemarie@hawaii.edu_</t>
      </text>
    </comment>
    <comment authorId="0" ref="L1">
      <text>
        <t xml:space="preserve">======
ID#AAAByhe5808
Eamonn Clarke    (2026-01-13 01:15:02)
@alemarie@hawaii.edu keyword search for "pesticide", "insecticide", "nematicide", and other words you find relevant. Mark TRUE if found in description on PubChem or Wikipedia.
_Assigned to alemarie@hawaii.edu_</t>
      </text>
    </comment>
    <comment authorId="0" ref="B1">
      <text>
        <t xml:space="preserve">======
ID#AAAByhe5804
Eamonn Clarke    (2026-01-13 01:12:40)
@etclarke@hawaii.edu make judgement call about how to sort everything
_Assigned to etclarke@hawaii.edu_</t>
      </text>
    </comment>
    <comment authorId="0" ref="D1">
      <text>
        <t xml:space="preserve">======
ID#AAAByhe580k
Eamonn Clarke    (2026-01-13 01:12:03)
@alemarie@hawaii.edu please validate all CASRNs with the check calculation at this link https://www.cas.org/training/documentation/chemical-substances/checkdig
_Assigned to alemarie@hawaii.edu_</t>
      </text>
    </comment>
    <comment authorId="0" ref="C1">
      <text>
        <t xml:space="preserve">======
ID#AAAByhe580g
Eamonn Clarke    (2026-01-13 01:10:47)
@alemarie@hawaii.edu please figure out a way to back-validate akas so that we don't pollute our dataset with unvalidated ones that come from PubChem.
_Assigned to alemarie@hawaii.edu_</t>
      </text>
    </comment>
    <comment authorId="0" ref="AI1">
      <text>
        <t xml:space="preserve">======
ID#AAAByhe580c
Eamonn    (2026-01-13 01:03:51)
Need to screen specifically for medium-chain chlorinated paraffins.
MCCPs are C14-C17 alkanes with &gt;45% w/w Cl</t>
      </text>
    </comment>
    <comment authorId="0" ref="AG1">
      <text>
        <t xml:space="preserve">======
ID#AAAByhe56dY
Eamonn    (2026-01-13 01:03:51)
Except have not yet checked for CCL5 DBPs</t>
      </text>
    </comment>
  </commentList>
  <extLst>
    <ext uri="GoogleSheetsCustomDataVersion2">
      <go:sheetsCustomData xmlns:go="http://customooxmlschemas.google.com/" r:id="rId1" roundtripDataSignature="AMtx7miIxYKM3bFMnPzQAKB9Rg0R97URgA=="/>
    </ext>
  </extLst>
</comments>
</file>

<file path=xl/sharedStrings.xml><?xml version="1.0" encoding="utf-8"?>
<sst xmlns="http://schemas.openxmlformats.org/spreadsheetml/2006/main" count="832" uniqueCount="570">
  <si>
    <t>NOTICE</t>
  </si>
  <si>
    <t>Status color coding</t>
  </si>
  <si>
    <t>Column complete</t>
  </si>
  <si>
    <t>This is a draft product not yet intended for public release.</t>
  </si>
  <si>
    <t>Column missing info, see comment</t>
  </si>
  <si>
    <t>The material contained in this product is neither complete nor</t>
  </si>
  <si>
    <t>Cell-specific question/problem</t>
  </si>
  <si>
    <t>warranted to be free of errors.</t>
  </si>
  <si>
    <t>In progress</t>
  </si>
  <si>
    <t>Introduction</t>
  </si>
  <si>
    <t>Purpose</t>
  </si>
  <si>
    <t>This document will serve as a centralized database of all contaminants detected in the various monitoring efforts surrounding the Red Hill Water Crisis.</t>
  </si>
  <si>
    <t>This document will aid researchers by:</t>
  </si>
  <si>
    <t>Providing a cross-reference between all data sets/data files that contain detections of speecific analytes</t>
  </si>
  <si>
    <t>Providing references to background information about the sources, uses, and characteristics of certain analytes</t>
  </si>
  <si>
    <t>Collecting other relevant information that may be helpful to researchers.</t>
  </si>
  <si>
    <t>This document will aid the public by serving as the foundation for a public-facing contaminant glossary to be hosted on the Red Hill Info Hub website.</t>
  </si>
  <si>
    <t>Layout</t>
  </si>
  <si>
    <t>Each row corresponds to a unique analyte.</t>
  </si>
  <si>
    <t>Information under the heading "Identification" corresponds to ways to uniquely identify this specific analyte, down to the level of relevant stereochemistry. This includes:</t>
  </si>
  <si>
    <t>Name as given in datasets</t>
  </si>
  <si>
    <t>Name simplified for sorting</t>
  </si>
  <si>
    <t>To simplify names for sorting, move locants, isomer designators, etc. to the end of the name and connect with a comma. For example, "1-bromobutane" becomes "bromobutane, 1-".</t>
  </si>
  <si>
    <t>This allows similar compounds to sort together - for example, "1,1-dichloroethane", "1,1-dichloropropane", and "1,2-dichloroethane" sorts in that order, while the simplified names sort the two dichloroethanes together.</t>
  </si>
  <si>
    <t>"a.k.a.s" - trade names, common names, or IUPAC preferred names</t>
  </si>
  <si>
    <t>CASRN - the Chemical Abstracts Service Registry Number is a unique identifier given to a specific substance that is used to specifically identify it among all similarly-named substances.</t>
  </si>
  <si>
    <t>Information under the heading "Classification" is used to group analytes as members of specific classes. This includes:</t>
  </si>
  <si>
    <t>Classification at three levels (work in progress, will create a graphic to illustrate classification scheme)</t>
  </si>
  <si>
    <t>Membership in various groups (true/false)</t>
  </si>
  <si>
    <t>BTEXMN - benzene, toluene, ethylbenzene, xylenes, methylnaphthalenes, and naphthalene</t>
  </si>
  <si>
    <t>DBP - disinfection byproducts</t>
  </si>
  <si>
    <t>Known JP-5 component - something known to be added to JP-5 based on literature or experimental reports of its presence and/or the relevant MILSPEC</t>
  </si>
  <si>
    <t>PAH - polycyclic aromatic hydrocarbons</t>
  </si>
  <si>
    <t>Pesticides</t>
  </si>
  <si>
    <t>Herbicides</t>
  </si>
  <si>
    <t>Information under the heading "Atom &amp; functional group inventory" is used to group analytes by chemical similarity.</t>
  </si>
  <si>
    <t>This is potentially useful for both chemists and health researchers - e.g., this allows for sorting to find all aldehydes.</t>
  </si>
  <si>
    <t>Information includes:</t>
  </si>
  <si>
    <t>Atom inventory - counts of chemically relevant atoms</t>
  </si>
  <si>
    <t>Carbon - for sorting by carbon range</t>
  </si>
  <si>
    <t>Nitrogen - for potential reactivity</t>
  </si>
  <si>
    <t>Halogens - potentially interesting as DBPs or particularlly hazardous materials</t>
  </si>
  <si>
    <t>Functional group inventory - counts of specific moieties</t>
  </si>
  <si>
    <t>1°, 2°, and 3° alcohols</t>
  </si>
  <si>
    <t>Ethers</t>
  </si>
  <si>
    <t>Ketones &amp; aldehydes</t>
  </si>
  <si>
    <t>Esters</t>
  </si>
  <si>
    <t>True/false criteria</t>
  </si>
  <si>
    <t>Halogenated - true if the analyte contains fluorine, chlorine, bromine, or iodine</t>
  </si>
  <si>
    <t>Saturated - true if the analyte does not contain any unsaturations</t>
  </si>
  <si>
    <t>Information under the heading "Regulations" is used to sort for contaminants included in government regulations</t>
  </si>
  <si>
    <t>The column "NPDWR" and the subsequent columns "MCL" and "MCLG" show if the analyte is regulated under the National Primary Drinking Water Regulations, and if so, at what levels.</t>
  </si>
  <si>
    <t>The column "CCL5" shows if the analyte is included in Contaminant Candidate List 5</t>
  </si>
  <si>
    <t>The column "Montreal Protocol" shows if the analyte is an ozone-depleting substance covered by the Montreal Protocol on Substances That Deplete the Ozone Layer</t>
  </si>
  <si>
    <t>The column "Stockholm Convention" shows if the analyte is a persistent organic pollutant covered by the Stockholm Convention on Persistent Organic Pollutants</t>
  </si>
  <si>
    <t>POPs covered by the Stockholm Convention are grouped into various annexes</t>
  </si>
  <si>
    <t>Annex A - parties must take measures to eliminate production and use</t>
  </si>
  <si>
    <t>Annex B - parties must take measures to restrict production and use</t>
  </si>
  <si>
    <t>Annex C - parties must take measures to reduce unintentional release, with the goal of continuing minimization and elimination where feasible</t>
  </si>
  <si>
    <t>Consequently, compounds are labeled "A", "B", or "C" rather than TRUE in this column</t>
  </si>
  <si>
    <t>Additional regulations will be included in this section at a later date</t>
  </si>
  <si>
    <t>Information under the heading "Sources" lists where the compound is found in everyday use.</t>
  </si>
  <si>
    <t>This information is, at the moment, primarily gleaned from Wikipedia articles and PubChem entries.</t>
  </si>
  <si>
    <t>Future revisions will include references and better sources.</t>
  </si>
  <si>
    <t>Information under the heading "Analyte in dataset…" shows all data sets and files that contain this analyte.</t>
  </si>
  <si>
    <t>This currently includes only the JBPHH Immediate datasets curated by the WRRC team.</t>
  </si>
  <si>
    <t>Additional datasets will be added in the future.</t>
  </si>
  <si>
    <t>If you have an additional dataset you would like to have included, please email eamonn.clarke@hawaii.edu</t>
  </si>
  <si>
    <t>Compound name given in datasets</t>
  </si>
  <si>
    <t>Compound name for sorting</t>
  </si>
  <si>
    <t>a.k.a.s</t>
  </si>
  <si>
    <t>CASRN</t>
  </si>
  <si>
    <t>Primary</t>
  </si>
  <si>
    <t>Secondary</t>
  </si>
  <si>
    <t>Tertiary</t>
  </si>
  <si>
    <t>BTEXMN</t>
  </si>
  <si>
    <t>DBP</t>
  </si>
  <si>
    <t>Known JP-5 component</t>
  </si>
  <si>
    <t>PAH</t>
  </si>
  <si>
    <t>Pesticide</t>
  </si>
  <si>
    <t>Herbicide</t>
  </si>
  <si>
    <t>C</t>
  </si>
  <si>
    <t>N</t>
  </si>
  <si>
    <t>F</t>
  </si>
  <si>
    <t>Cl</t>
  </si>
  <si>
    <t>Br</t>
  </si>
  <si>
    <t>1° alcohols</t>
  </si>
  <si>
    <t>2° alcohols</t>
  </si>
  <si>
    <t>3° alcohols</t>
  </si>
  <si>
    <t>Ketones</t>
  </si>
  <si>
    <t>Aldehydes</t>
  </si>
  <si>
    <t>Epoxides</t>
  </si>
  <si>
    <t>Amines</t>
  </si>
  <si>
    <t>Halogenated</t>
  </si>
  <si>
    <t>Saturated</t>
  </si>
  <si>
    <t>NPDWR</t>
  </si>
  <si>
    <t>MCL</t>
  </si>
  <si>
    <t>MCLG</t>
  </si>
  <si>
    <t>CCL5</t>
  </si>
  <si>
    <t>Montreal Protocol</t>
  </si>
  <si>
    <t>Stockholm Convention</t>
  </si>
  <si>
    <t>Sources</t>
  </si>
  <si>
    <t>Notes</t>
  </si>
  <si>
    <t>jbphh_immediate_weck_12June2025.csv</t>
  </si>
  <si>
    <t>jbphh_immediate_eurofins_12June2025.csv</t>
  </si>
  <si>
    <t>merged_toc_tph_immediate_21Aug25.csv</t>
  </si>
  <si>
    <t>TOC_immediate_jbphh_12Jun2025.csv</t>
  </si>
  <si>
    <t>TPH_Eurofins_Only.csv</t>
  </si>
  <si>
    <t>TPH_Weck_Only.csv</t>
  </si>
  <si>
    <t>2-(2-methoxyethoxy)ethanol</t>
  </si>
  <si>
    <t>diethylene glycol monomethyl ether (DIEGME/DiEGME), methyl digol</t>
  </si>
  <si>
    <t>111-77-3</t>
  </si>
  <si>
    <t>Glycol ether</t>
  </si>
  <si>
    <t>JP-5, additive, fuel system icing inhibitor (FSII)</t>
  </si>
  <si>
    <t>Acenaphthene</t>
  </si>
  <si>
    <t>acenaphthene</t>
  </si>
  <si>
    <t>dihydroacenaphthylene, 1,2-</t>
  </si>
  <si>
    <t>83-32-9</t>
  </si>
  <si>
    <t>Aromatic</t>
  </si>
  <si>
    <t>Naphthalene, alkylated</t>
  </si>
  <si>
    <t>Combustion byproduct of fossil fuels, forest fires, volcanic eruptions, used in dyes, plastics, biocides and pharmaceutical products</t>
  </si>
  <si>
    <t>Acenaphthylene</t>
  </si>
  <si>
    <t>acenaphthylene</t>
  </si>
  <si>
    <t>208-96-8</t>
  </si>
  <si>
    <t>Intsecticides, fungicides, and in manufacture of dyes and plastics</t>
  </si>
  <si>
    <t>Alachlor</t>
  </si>
  <si>
    <t>2-Chloro-N-(2,6-diethylphenyl)-N-(methoxymethyl)acetamide</t>
  </si>
  <si>
    <t>15972-60-8</t>
  </si>
  <si>
    <t>Benzene, derivatized</t>
  </si>
  <si>
    <t>Used in pre-emergent herbicides and pesticides</t>
  </si>
  <si>
    <t>Anthracene</t>
  </si>
  <si>
    <t>anthracene</t>
  </si>
  <si>
    <t>120-12-7</t>
  </si>
  <si>
    <t>Component in coal tar, used in dye and pharmaceutical drug productions, synthetic fibers and plastics, occurs in tobacco smoke, exhaust emissions and contaminated waters</t>
  </si>
  <si>
    <t>Antimony</t>
  </si>
  <si>
    <t>antimony</t>
  </si>
  <si>
    <t>7440-36-0</t>
  </si>
  <si>
    <t>Pure element</t>
  </si>
  <si>
    <t>Metal</t>
  </si>
  <si>
    <t>Pnictogen (nitrogen group)</t>
  </si>
  <si>
    <t>N/A</t>
  </si>
  <si>
    <t>Used in diodes and infrared detectiors, baterries, metal and cable sheathing, small arms and tracer bullets, manufaturing in flame-proofing products</t>
  </si>
  <si>
    <t>Arsenic</t>
  </si>
  <si>
    <t>arsenic</t>
  </si>
  <si>
    <t>7440-38-2</t>
  </si>
  <si>
    <t>Rat poison, insecticides, pesticides, herbicides,  used in alloys of lead in car batteries/ammunition, erosion from natural deposits, runoff from orchards and/or glass and electronic production waste</t>
  </si>
  <si>
    <t>Atrazine</t>
  </si>
  <si>
    <t>1912-24-9</t>
  </si>
  <si>
    <t>Triazine</t>
  </si>
  <si>
    <t>Herbicides, pesticides</t>
  </si>
  <si>
    <t>Barium</t>
  </si>
  <si>
    <t>barium</t>
  </si>
  <si>
    <t>7440-39-3</t>
  </si>
  <si>
    <t>Alkaline earth metal</t>
  </si>
  <si>
    <t>Used as filler for rubber, plastics and resins, used in signal flares, fireworks and drilling fluids, X-ray radiocontrast agents and rodenticides</t>
  </si>
  <si>
    <t>Benzene</t>
  </si>
  <si>
    <t>benzene</t>
  </si>
  <si>
    <t>71-43-2</t>
  </si>
  <si>
    <t>Motor fuels; solvent for fats, oils, inks, paints, rubber and plastics; manufacture of detergents, explosives, pharmaceutical drugs and dye productions</t>
  </si>
  <si>
    <t>Benzo (a) anthracene</t>
  </si>
  <si>
    <t>benzo[a]anthracene</t>
  </si>
  <si>
    <t>benzo[a]anthracene, tetraphene, benz[a]anthracene</t>
  </si>
  <si>
    <t>56-55-3</t>
  </si>
  <si>
    <t>Incomplete combustion byproduct; found in coal tar, asphalt production, creosote, petroleum cracking and steel production</t>
  </si>
  <si>
    <t>Benzo (a) pyrene</t>
  </si>
  <si>
    <t>benzo[a]pyrene</t>
  </si>
  <si>
    <t>benzo[a]pyrene, benzo[pqr]tetraphene, benz[a]pyrene</t>
  </si>
  <si>
    <t>50-32-8</t>
  </si>
  <si>
    <t>Incomplete combustion byproduct; found in coal tar, vehicle exhaust fumes, and in iron, steel and aluminium smelters</t>
  </si>
  <si>
    <t>Benzo (b) fluoranthene</t>
  </si>
  <si>
    <t>benzo[b]fluoranthene</t>
  </si>
  <si>
    <t>205-99-2</t>
  </si>
  <si>
    <t>Incomplete combustion byproduct; occurs in fossil fuels, tobacco smoke, vehicle exhaust, coal tars, creosote, bitumen and asphalt</t>
  </si>
  <si>
    <t>Benzo (g,h,i) perylene</t>
  </si>
  <si>
    <t>benzo[ghi]perhylene</t>
  </si>
  <si>
    <t>benzo[ghi]perylene</t>
  </si>
  <si>
    <t>191-24-2</t>
  </si>
  <si>
    <t>Combustion byproduct; occurs in coal tar, crude oil, tobacco smoke, vehicle exhausts and industrial emissions</t>
  </si>
  <si>
    <t>Benzo (k) fluoranthene</t>
  </si>
  <si>
    <t>benzo[k]fluoranthene</t>
  </si>
  <si>
    <t>207-916-6</t>
  </si>
  <si>
    <t>Incomplete combustion byproduct; of fuels in engines, forest fires, and occurs in tars, asphalt, creosote, aluminium smelters and hazardous waste disposal sites</t>
  </si>
  <si>
    <t>Dibenzo (a,h) anthracene</t>
  </si>
  <si>
    <t>benzo[k]tetraphene</t>
  </si>
  <si>
    <t>dibenz[a,h]anthracene; 1,2:5,6-dibenzanthracene</t>
  </si>
  <si>
    <t>53-70-3</t>
  </si>
  <si>
    <t>Combustion byproduct of fossil fuels, naturally released from forest fires &amp; volcanic eruptions, no known use except in research (PubChem)</t>
  </si>
  <si>
    <t>Beryllium</t>
  </si>
  <si>
    <t>beryllium</t>
  </si>
  <si>
    <t>7440-41-7</t>
  </si>
  <si>
    <t>Used in aerospace, nuclear reactors, electronics, and components of x-rays, gyroscopes and ceramics</t>
  </si>
  <si>
    <t>Bis(2-ethylhexyl)adipate</t>
  </si>
  <si>
    <t>bis(2-ethylhexyl)adipate</t>
  </si>
  <si>
    <t>DEHA, DOA</t>
  </si>
  <si>
    <t>103-23-1</t>
  </si>
  <si>
    <t>Aliphatic</t>
  </si>
  <si>
    <t>Alkane, branched</t>
  </si>
  <si>
    <t>Hydraulic fluid, aircraft lubricant, plasticizer (in some plastic wraps)</t>
  </si>
  <si>
    <t>Bis(2-ethylhexyl)phthalate</t>
  </si>
  <si>
    <t>bis(2-ethylhexyl)phthalate</t>
  </si>
  <si>
    <t>DEHP</t>
  </si>
  <si>
    <t>117-81-7</t>
  </si>
  <si>
    <t>Bromobenzene</t>
  </si>
  <si>
    <t>bromobenzene</t>
  </si>
  <si>
    <t>108-86-1</t>
  </si>
  <si>
    <t>Benzene, halogenated</t>
  </si>
  <si>
    <t>Used as a solvent and in organic synthesis, lubricating-oil additive, Grignard reagents</t>
  </si>
  <si>
    <t>Bromochloromethane</t>
  </si>
  <si>
    <t>bromochloromethane</t>
  </si>
  <si>
    <t>Halon 1011, methylene bromochloride</t>
  </si>
  <si>
    <t>74-97-5</t>
  </si>
  <si>
    <t>Alkane, linear</t>
  </si>
  <si>
    <t>Fire extinguishers, solvent for explosion supression agent, manufacture of some insecticides</t>
  </si>
  <si>
    <t>Bromodichloromethane</t>
  </si>
  <si>
    <t>bromodichloromethane</t>
  </si>
  <si>
    <t>BDCM</t>
  </si>
  <si>
    <t>75-27-4</t>
  </si>
  <si>
    <t>Fire extinguishers, solvent for fats, waxes and resins, chemical reagent in organic synthesis</t>
  </si>
  <si>
    <t>Bromoform</t>
  </si>
  <si>
    <t>bromoform</t>
  </si>
  <si>
    <t>tribromomethane</t>
  </si>
  <si>
    <t>75-25-2</t>
  </si>
  <si>
    <t>Solvent for waxes and oils, shipbuilding, aircraft and aerospace insdustries and used in fire extinguishers</t>
  </si>
  <si>
    <t>Bromomethane</t>
  </si>
  <si>
    <t>bromomethane</t>
  </si>
  <si>
    <t>74-83-9</t>
  </si>
  <si>
    <t xml:space="preserve">Fumigants and used in manufacture of pharmaceutical products, </t>
  </si>
  <si>
    <t>2-Butanone</t>
  </si>
  <si>
    <t>butanone, 2-</t>
  </si>
  <si>
    <t>methyl ethyl ketone, MEK</t>
  </si>
  <si>
    <t>78-93-3</t>
  </si>
  <si>
    <t>Solvent for coatings, oils, rubbers and glues, plastic weldings</t>
  </si>
  <si>
    <t>n-Butylbenzene</t>
  </si>
  <si>
    <t>butylbenzene, n-</t>
  </si>
  <si>
    <t>Benzene, alkylated</t>
  </si>
  <si>
    <t xml:space="preserve">Plasticizer, surface active agent, solvent for coatings, found in asphalt and naptha, pesticide manufacturing </t>
  </si>
  <si>
    <t>sec-Butylbenzene</t>
  </si>
  <si>
    <t>butylbenzene, s-</t>
  </si>
  <si>
    <t>Solvent for coating composition, organic synthesis, plasticizer and surface active agents</t>
  </si>
  <si>
    <t>tert-Butylbenzene</t>
  </si>
  <si>
    <t>butylbenzene, t-</t>
  </si>
  <si>
    <t>Used in organic synthesis, hydrogen peroxide production polymer linking agent and polymeraization solvent</t>
  </si>
  <si>
    <t>Cadmium</t>
  </si>
  <si>
    <t>cadmium</t>
  </si>
  <si>
    <t>7440-43-9</t>
  </si>
  <si>
    <t>Transition metal, group 12</t>
  </si>
  <si>
    <t>Used for corrosion-resistant electroplating, rechargeable nickel-cadmium batteries, nuclear reactor control rods, low-melting alloys and solders</t>
  </si>
  <si>
    <t>Carbon tetrachloride</t>
  </si>
  <si>
    <t>carbon tetrachloride</t>
  </si>
  <si>
    <t>56-23-5</t>
  </si>
  <si>
    <t>Solvent for lacquers, oils and resins</t>
  </si>
  <si>
    <t>alpha-Chlordane</t>
  </si>
  <si>
    <t>Chlordane, α-</t>
  </si>
  <si>
    <t>chlordane, cis-; chlordane, α-</t>
  </si>
  <si>
    <t>57-74-9</t>
  </si>
  <si>
    <t>A</t>
  </si>
  <si>
    <t xml:space="preserve">Organic pollutant, </t>
  </si>
  <si>
    <t>Pure compound, not to be confused with chlordane as a product, which contains chlordane, heptachlor, and nonachlor</t>
  </si>
  <si>
    <t>gamma-Chlordane</t>
  </si>
  <si>
    <t>chlordane, γ-</t>
  </si>
  <si>
    <t>Chlorobenzene</t>
  </si>
  <si>
    <t>chlorobenzene</t>
  </si>
  <si>
    <t>108-90-7</t>
  </si>
  <si>
    <t>Solvent for pesticides, herbicides, bitumen and asphalt coatings, production of dyes, rubber and pharmaceuticals</t>
  </si>
  <si>
    <t>Chloroethane</t>
  </si>
  <si>
    <t>chloroethane</t>
  </si>
  <si>
    <t>ethyl chloride</t>
  </si>
  <si>
    <t>75-00-3</t>
  </si>
  <si>
    <t>Used in production of organic synthesis, as a refrigerant, aerosol propellant and anesthetics</t>
  </si>
  <si>
    <t>Vinyl chloride</t>
  </si>
  <si>
    <t>chloroethene</t>
  </si>
  <si>
    <t>Alkene, linear</t>
  </si>
  <si>
    <t>Used in production of PVC, automative parts, pipes, contruction materials and furnitures</t>
  </si>
  <si>
    <t>Chloroform</t>
  </si>
  <si>
    <t>chloroform</t>
  </si>
  <si>
    <t>trichloromethane</t>
  </si>
  <si>
    <t>67-66-3</t>
  </si>
  <si>
    <t>Solvent for lipids, alkaloids, resins, cleaning agent, grain fumigant, in fire extinguishers and in rubber productions</t>
  </si>
  <si>
    <t>Chloromethane</t>
  </si>
  <si>
    <t>chloromethane</t>
  </si>
  <si>
    <t>R-40</t>
  </si>
  <si>
    <t>74-87-3</t>
  </si>
  <si>
    <t>Used in production of methycellulose, silicones, extractant for greases, oils, and local aesthetics</t>
  </si>
  <si>
    <t>2-Chlorotoluene</t>
  </si>
  <si>
    <t>chlorotoluene, 2-</t>
  </si>
  <si>
    <t>chlorotoluene, o-/ortho-</t>
  </si>
  <si>
    <t>95-49-8</t>
  </si>
  <si>
    <t>Used in cleaning products and household care, as a solvent for paintings</t>
  </si>
  <si>
    <t>4-Chlorotoluene</t>
  </si>
  <si>
    <t>chlorotoluene, 4-</t>
  </si>
  <si>
    <t>chlorotoluene, p-/para-</t>
  </si>
  <si>
    <t>106-43-4</t>
  </si>
  <si>
    <t>Solvent for dyesand intermediate for organic chemicals</t>
  </si>
  <si>
    <t>Chrysene</t>
  </si>
  <si>
    <t>chrysene</t>
  </si>
  <si>
    <t>218-01-9</t>
  </si>
  <si>
    <t>Coal tar, tobacco smoke, plant metaabolite</t>
  </si>
  <si>
    <t>Copper</t>
  </si>
  <si>
    <t>copper</t>
  </si>
  <si>
    <t>7440-50-8</t>
  </si>
  <si>
    <t>Transition metal, group 11</t>
  </si>
  <si>
    <t>Natural mineral, released from some industrial processes, used extensively in plumbing</t>
  </si>
  <si>
    <t>1,2-Dibromo-3-chloropropane</t>
  </si>
  <si>
    <t>dibromo-3-chloropropane, 1,2-</t>
  </si>
  <si>
    <t>DBCP, Nemagon, Fumazone (active ingredient in the last two)</t>
  </si>
  <si>
    <t>96-12-8</t>
  </si>
  <si>
    <t>anti-nematode pesticide (nematocide)</t>
  </si>
  <si>
    <t>Dibromochloromethane</t>
  </si>
  <si>
    <t>dibromochloromethane</t>
  </si>
  <si>
    <t>124-48-1</t>
  </si>
  <si>
    <t>Disinfection byproduct, legacy flame retardant &amp; chemical intermediate, laboratory reagent, natural product</t>
  </si>
  <si>
    <t>1,2-Dibromoethane (EDB)</t>
  </si>
  <si>
    <t>dibromoethane, 1,2- (EDB)</t>
  </si>
  <si>
    <t>ethylene dibromide</t>
  </si>
  <si>
    <t>106-93-4</t>
  </si>
  <si>
    <t>fumigant</t>
  </si>
  <si>
    <t>Dibromomethane</t>
  </si>
  <si>
    <t>dibromomethane</t>
  </si>
  <si>
    <t>methylene bromide, methylene dibromide</t>
  </si>
  <si>
    <t>74-95-3</t>
  </si>
  <si>
    <t>Solvent, laboratory reagent, natural product</t>
  </si>
  <si>
    <t>o-Dichlorobenzene</t>
  </si>
  <si>
    <t>dichlorobenzene, 1,2-</t>
  </si>
  <si>
    <t>Solvent, degreasing agent, paint remover, cylinder lubricant, tars, rubbers, oils and asphalt</t>
  </si>
  <si>
    <t>m-Dichlorobenzene</t>
  </si>
  <si>
    <t>dichlorobenzene, 1,3-</t>
  </si>
  <si>
    <t>Used as a fumigant, insecticide and chemical intermediate</t>
  </si>
  <si>
    <t>p-Dichlorobenzene</t>
  </si>
  <si>
    <t>dichlorobenzene, 1,4-</t>
  </si>
  <si>
    <t>Used in insecticide and fumigant, as a deodorizer, moth repellent and chemical intermediate</t>
  </si>
  <si>
    <t>Dichlorodifluoromethane (Freon 12)</t>
  </si>
  <si>
    <t>dichlorodifluoromethane</t>
  </si>
  <si>
    <t>R-12, Freon-12, CFC-12, Halon 122</t>
  </si>
  <si>
    <t>75-71-8</t>
  </si>
  <si>
    <t>Fire retardant in submarines and aircraft, legacy refrigerant and aerosol propellant</t>
  </si>
  <si>
    <t>1,1-Dichloroethane</t>
  </si>
  <si>
    <t>dichloroethane, 1,1-</t>
  </si>
  <si>
    <t>75-34-3</t>
  </si>
  <si>
    <t>Intermediate for organic synthesis, flame retardane coatings, piping and adhesive applications</t>
  </si>
  <si>
    <t>1,2-Dichloroethane</t>
  </si>
  <si>
    <t>dichloroethane, 1,2-</t>
  </si>
  <si>
    <t>ethylene dichloride, EDC</t>
  </si>
  <si>
    <t>107-06-2</t>
  </si>
  <si>
    <t>Used in production of vinyl chloride, intermediate for organic synthesis, an as a lead scavenger in gasoline</t>
  </si>
  <si>
    <t>1,1-Dichloroethene</t>
  </si>
  <si>
    <t>dichloroethene, 1,1-</t>
  </si>
  <si>
    <t>dichloroethylene, 1,1-</t>
  </si>
  <si>
    <t>75-35-4</t>
  </si>
  <si>
    <t>cis-1,2-Dichloroethene</t>
  </si>
  <si>
    <t>dichloroethene, cis-1,2-</t>
  </si>
  <si>
    <t>dichloroethylene, cis-1,2-; dichloroethene, Z-; dichloroethylene, Z-; 1,2-DCE</t>
  </si>
  <si>
    <t>156-59-2</t>
  </si>
  <si>
    <t>Alkene</t>
  </si>
  <si>
    <t>Degreaser, decomposition product of trichloroethylene</t>
  </si>
  <si>
    <t>trans-1,2-Dichloroethene</t>
  </si>
  <si>
    <t>dichloroethene, trans-1,2-</t>
  </si>
  <si>
    <t>dichloroethylene, trans-1,2-</t>
  </si>
  <si>
    <t>1,2-Dichloropropane</t>
  </si>
  <si>
    <t>dichloropropane, 1,2-</t>
  </si>
  <si>
    <t>78-87-5</t>
  </si>
  <si>
    <t>legacy soil fumigant</t>
  </si>
  <si>
    <t>1,3-Dichloropropane</t>
  </si>
  <si>
    <t>dichloropropane, 1,3-</t>
  </si>
  <si>
    <t>142-28-9</t>
  </si>
  <si>
    <t>Contaminant</t>
  </si>
  <si>
    <t>contaminant of soil fumingants containing 1,3-dichloropropene</t>
  </si>
  <si>
    <t>2,2-Dichloropropane</t>
  </si>
  <si>
    <t>dichloropropane, 2,2-</t>
  </si>
  <si>
    <t>594-20-7</t>
  </si>
  <si>
    <t>1,1-Dichloropropene</t>
  </si>
  <si>
    <t>dichloropropene, 1,1-</t>
  </si>
  <si>
    <t>26952-23-8</t>
  </si>
  <si>
    <t>Soil fumigant, industrial solvent, used in organic synthesis</t>
  </si>
  <si>
    <t>1,3-Dichloropropene, Total</t>
  </si>
  <si>
    <t>dichloropropene, 1,3-</t>
  </si>
  <si>
    <t>many - see Wikipedia list</t>
  </si>
  <si>
    <t>542-75-6</t>
  </si>
  <si>
    <t>anti-nematode pesticide (nematocide), soil fumigant</t>
  </si>
  <si>
    <t>cis-1,3-Dichloropropene</t>
  </si>
  <si>
    <t>dichloropropene, cis-1,3-</t>
  </si>
  <si>
    <t>dichloropropylene, cis-1,3-; AQL Agrocelhone, DD92, Dorlone, Nematox, Telone, Nemex</t>
  </si>
  <si>
    <t>Pesticide (fumigant, nematicide)</t>
  </si>
  <si>
    <t>trans-1,3-Dichloropropene</t>
  </si>
  <si>
    <t>dichloropropene, trans-1,3-</t>
  </si>
  <si>
    <t>dichloropropylene, trans-1,3-; AQL Agrocelhone, DD92, Dorlone, Nematox, Telone, Nemex</t>
  </si>
  <si>
    <t>Di-isopropyl ether</t>
  </si>
  <si>
    <t>diisopropyl ether</t>
  </si>
  <si>
    <t>diisopropyl oxide, DIPE</t>
  </si>
  <si>
    <t>108-20-3</t>
  </si>
  <si>
    <t>Gasoline additive, solvent, industrial byproduct</t>
  </si>
  <si>
    <t>Endrin</t>
  </si>
  <si>
    <t>Mendrin, compound 269</t>
  </si>
  <si>
    <t>72-20-8</t>
  </si>
  <si>
    <t>Pesticide (insecticide, rodenticide, piscicide)</t>
  </si>
  <si>
    <t>Ethyl tert-butyl ether</t>
  </si>
  <si>
    <t>ethyl tert-butyl ether</t>
  </si>
  <si>
    <t>ETBE</t>
  </si>
  <si>
    <t>637-92-3</t>
  </si>
  <si>
    <t>Gasoline additive</t>
  </si>
  <si>
    <t>Ethylbenzene</t>
  </si>
  <si>
    <t>ethylbenzene</t>
  </si>
  <si>
    <t>phenylethane, α-methyltoluene, EB</t>
  </si>
  <si>
    <t>100-41-4</t>
  </si>
  <si>
    <t>Petroleum component; used as a solvent, in asphalt, and as a chemical feedstock (polystyrene)</t>
  </si>
  <si>
    <t>Fluoranthene</t>
  </si>
  <si>
    <t>fluoranthene</t>
  </si>
  <si>
    <t>benzo[jk]fluorene</t>
  </si>
  <si>
    <t>206-44-0</t>
  </si>
  <si>
    <t>Sources conflict, further research needed</t>
  </si>
  <si>
    <t>Fluorene</t>
  </si>
  <si>
    <t>fluorene</t>
  </si>
  <si>
    <t>fluorene, 9H-</t>
  </si>
  <si>
    <t>86-73-7</t>
  </si>
  <si>
    <t>Combustion byproduct of fossil fuels, naturally released from forest fires &amp; volcanic eruptions, used as a chemical feedstock to make dyes and resins</t>
  </si>
  <si>
    <t>Not to be confused with fluorine, chemical element, symbol F</t>
  </si>
  <si>
    <t>Freon 113</t>
  </si>
  <si>
    <t>trichloro-1,2,2-trifluoroethane, 1,1,2-; CFC-113</t>
  </si>
  <si>
    <t>76-13-1</t>
  </si>
  <si>
    <t>Cleaning solvent</t>
  </si>
  <si>
    <t>Heptachlor</t>
  </si>
  <si>
    <t>heptachlor</t>
  </si>
  <si>
    <t>Heptachlor epoxide</t>
  </si>
  <si>
    <t>heptachlor epoxide</t>
  </si>
  <si>
    <t>Degradation product of heptachlor</t>
  </si>
  <si>
    <t>Hexachlorobutadiene</t>
  </si>
  <si>
    <t>hexachlorobutadiene</t>
  </si>
  <si>
    <t>A (as industrial chemical), C (as unintentional production)</t>
  </si>
  <si>
    <t>gamma-BHC (Lindane)</t>
  </si>
  <si>
    <t>hexachlorocyclohexane, γ-</t>
  </si>
  <si>
    <t>Alkane, cyclic</t>
  </si>
  <si>
    <t>Hexachlorocyclopentadiene</t>
  </si>
  <si>
    <t>hexachlorocyclopentadiene</t>
  </si>
  <si>
    <t>Alkene, cyclic</t>
  </si>
  <si>
    <t>2-Hexanone</t>
  </si>
  <si>
    <t>hexanone, 2-</t>
  </si>
  <si>
    <t>methyl butyl ketone, MBK</t>
  </si>
  <si>
    <t>591-78-6</t>
  </si>
  <si>
    <t>Indeno (1,2,3-cd) pyrene</t>
  </si>
  <si>
    <t>indeno(1,2,3-cd)pyrene</t>
  </si>
  <si>
    <t>p-Isopropyltoluene</t>
  </si>
  <si>
    <t>isopropyltoluene, p-</t>
  </si>
  <si>
    <t>Lead</t>
  </si>
  <si>
    <t>lead</t>
  </si>
  <si>
    <t>Post-transition metal, group 14</t>
  </si>
  <si>
    <t>Mercury</t>
  </si>
  <si>
    <t>mercury</t>
  </si>
  <si>
    <t>Methoxychlor</t>
  </si>
  <si>
    <t>methoxychlor</t>
  </si>
  <si>
    <t>Methyl tert-butyl ether (MTBE)</t>
  </si>
  <si>
    <t>methyl tert-butyl ether</t>
  </si>
  <si>
    <t>4-Methyl-2-pentanone</t>
  </si>
  <si>
    <t>methyl-2-pentanone, 4-</t>
  </si>
  <si>
    <t>methyl isobutyl ketone, MIBK</t>
  </si>
  <si>
    <t>108-10-1</t>
  </si>
  <si>
    <t>Methylene chloride</t>
  </si>
  <si>
    <t>methylene chloride</t>
  </si>
  <si>
    <t>dichloromethane</t>
  </si>
  <si>
    <t>1-Methylnaphthalene</t>
  </si>
  <si>
    <t>methylnaphthalene, 1-</t>
  </si>
  <si>
    <t>methylnaphthalene, α-</t>
  </si>
  <si>
    <t>90-12-0</t>
  </si>
  <si>
    <t>2-Methylnaphthalene</t>
  </si>
  <si>
    <t>methylnaphthalene, 2-</t>
  </si>
  <si>
    <t>methylnaphthalene, ß-</t>
  </si>
  <si>
    <t>91-57-6</t>
  </si>
  <si>
    <t>Naphthalene</t>
  </si>
  <si>
    <t>naphthalene</t>
  </si>
  <si>
    <t>Nickel</t>
  </si>
  <si>
    <t>nickel</t>
  </si>
  <si>
    <t>Transition metal, group 10</t>
  </si>
  <si>
    <t>cis-Nonachlor</t>
  </si>
  <si>
    <t>Nonachlor, cis-</t>
  </si>
  <si>
    <t>Nonachlordane, cis-</t>
  </si>
  <si>
    <t>5103-73-1</t>
  </si>
  <si>
    <t>Component of technical grade chlordane</t>
  </si>
  <si>
    <t>trans-Nonachlor</t>
  </si>
  <si>
    <t>nonachlor, trans-</t>
  </si>
  <si>
    <t>Pentachlorophenol</t>
  </si>
  <si>
    <t>pentachlorophenol</t>
  </si>
  <si>
    <t>Phenanthrene</t>
  </si>
  <si>
    <t>phenanthrene</t>
  </si>
  <si>
    <t>Isopropylbenzene</t>
  </si>
  <si>
    <t>propylbenzene, i-</t>
  </si>
  <si>
    <t>n-Propylbenzene</t>
  </si>
  <si>
    <t>propylbenzene, n-</t>
  </si>
  <si>
    <t>Pyrene</t>
  </si>
  <si>
    <t>pyrene</t>
  </si>
  <si>
    <t>Selenium</t>
  </si>
  <si>
    <t>selenium</t>
  </si>
  <si>
    <t>Simazine</t>
  </si>
  <si>
    <t>simazine</t>
  </si>
  <si>
    <t>Styrene</t>
  </si>
  <si>
    <t>styrene</t>
  </si>
  <si>
    <t>Benzene, alkenylated</t>
  </si>
  <si>
    <t>Tert-amyl methyl ether</t>
  </si>
  <si>
    <t>tert-amyl methyl ether</t>
  </si>
  <si>
    <t>1,1,1,2-Tetrachloroethane</t>
  </si>
  <si>
    <t>tetrachloroethane, 1,1,1,2-</t>
  </si>
  <si>
    <t>630-20-6</t>
  </si>
  <si>
    <t>Solvent, used in wood stains &amp; varnishes, chemical feedstock, possible pesticide/insecticide use</t>
  </si>
  <si>
    <t>1,1,2,2-Tetrachloroethane</t>
  </si>
  <si>
    <t>tetrachloroethane, 1,1,2,2-</t>
  </si>
  <si>
    <t>Bonoform, Cellon, Westron</t>
  </si>
  <si>
    <t>79-34-4</t>
  </si>
  <si>
    <t>Tetrachloroethene</t>
  </si>
  <si>
    <t>tetrachloroethene</t>
  </si>
  <si>
    <t>tetrachloroethylene</t>
  </si>
  <si>
    <t>Thallium</t>
  </si>
  <si>
    <t>thallium</t>
  </si>
  <si>
    <t>Post-transition metal, group 13</t>
  </si>
  <si>
    <t>Toluene</t>
  </si>
  <si>
    <t>TOC</t>
  </si>
  <si>
    <t>Total organic carbon</t>
  </si>
  <si>
    <t>Mixture</t>
  </si>
  <si>
    <t>Method-defined analytical mixture</t>
  </si>
  <si>
    <t>TPH-D</t>
  </si>
  <si>
    <t>Total petroleum hydrocarbons, diesel range</t>
  </si>
  <si>
    <t>TPH-D, silica gel cleaned up</t>
  </si>
  <si>
    <t>Total petroleum hydrocarbons, diesel range, with silica gel cleanup</t>
  </si>
  <si>
    <t>TPH-G</t>
  </si>
  <si>
    <t>Total petroleum hydrocarbons, gasoline range</t>
  </si>
  <si>
    <t>TPH-O</t>
  </si>
  <si>
    <t>Total petroleum hydrocarbons, oil range</t>
  </si>
  <si>
    <t>TPH-O, silica gel cleaned up</t>
  </si>
  <si>
    <t>Total petroleum hydrocarbons, oil range, with silica gel cleanup</t>
  </si>
  <si>
    <t>THMs, Total</t>
  </si>
  <si>
    <t>Total THMs</t>
  </si>
  <si>
    <t>Mixture of pure compounds</t>
  </si>
  <si>
    <t>1,2,3-Trichlorobenzene</t>
  </si>
  <si>
    <t>trichlorobenzene, 1,2,3-</t>
  </si>
  <si>
    <t>87-61-6</t>
  </si>
  <si>
    <t>1,2,4-Trichlorobenzene</t>
  </si>
  <si>
    <t>trichlorobenzene, 1,2,4-</t>
  </si>
  <si>
    <t>120-82-1</t>
  </si>
  <si>
    <t>1,1,1-Trichloroethane</t>
  </si>
  <si>
    <t>trichloroethane, 1,1,1-</t>
  </si>
  <si>
    <t>methyl chloroform, chlorothene, Chloroethene NU, Aerothene TT</t>
  </si>
  <si>
    <t>71-55-6</t>
  </si>
  <si>
    <t>Solvent, used in cleansers, glues, &amp; aerosols, legacy food &amp; grain fumigant</t>
  </si>
  <si>
    <t>1,1,2-trichloroethane</t>
  </si>
  <si>
    <t>trichloroethane, 1,1,2-</t>
  </si>
  <si>
    <t>vinyl trichloride, 1,1,2-TCA</t>
  </si>
  <si>
    <t>79-00-5</t>
  </si>
  <si>
    <t>Trichloroethene</t>
  </si>
  <si>
    <t>trichloroethene</t>
  </si>
  <si>
    <t>trichloroethylene</t>
  </si>
  <si>
    <t>Trichlorofluoromethane</t>
  </si>
  <si>
    <t>trichlorofluoromethane</t>
  </si>
  <si>
    <t>1,2,3-Trichloropropane</t>
  </si>
  <si>
    <t>trichloropropane, 1,2,3-</t>
  </si>
  <si>
    <t>96-18-4</t>
  </si>
  <si>
    <t>1,2,4-Trimethylbenzene</t>
  </si>
  <si>
    <t>trimethylbenzene, 1,2,4-</t>
  </si>
  <si>
    <t>pseudocumene</t>
  </si>
  <si>
    <t>95-63-6</t>
  </si>
  <si>
    <t>1,3,5-Trimethylbenzene</t>
  </si>
  <si>
    <t>trimethylbenzene, 1,3,5-</t>
  </si>
  <si>
    <t>mesitylene</t>
  </si>
  <si>
    <t>108-67-8</t>
  </si>
  <si>
    <t>m,p-Xylene</t>
  </si>
  <si>
    <t>xylene, m- &amp; p-</t>
  </si>
  <si>
    <t>Complex topic - need to discuss why this is a mixture</t>
  </si>
  <si>
    <t>o-Xylene</t>
  </si>
  <si>
    <t>xylene, o-</t>
  </si>
  <si>
    <t>Xylenes</t>
  </si>
  <si>
    <t>xylenes, total</t>
  </si>
  <si>
    <t>Naphthalene...123</t>
  </si>
  <si>
    <t>Naphthalene...125</t>
  </si>
  <si>
    <t>Naphthalene...64</t>
  </si>
  <si>
    <t>Naphthalene...66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</si>
</sst>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theme="1"/>
      <name val="Arial"/>
      <scheme val="minor"/>
    </font>
    <font>
      <b/>
      <sz val="20.0"/>
      <color theme="0"/>
      <name val="Arial"/>
    </font>
    <font/>
    <font>
      <b/>
      <u/>
      <sz val="10.0"/>
      <color theme="1"/>
      <name val="Arial"/>
    </font>
    <font>
      <sz val="10.0"/>
      <color theme="1"/>
      <name val="Arial"/>
    </font>
    <font>
      <b/>
      <u/>
      <sz val="10.0"/>
      <color theme="1"/>
      <name val="Arial"/>
    </font>
    <font>
      <i/>
      <u/>
      <sz val="10.0"/>
      <color theme="1"/>
      <name val="Arial"/>
    </font>
    <font>
      <i/>
      <u/>
      <sz val="10.0"/>
      <color rgb="FFFFFFFF"/>
      <name val="Arial"/>
    </font>
    <font>
      <i/>
      <u/>
      <sz val="10.0"/>
      <color rgb="FFFFFFFF"/>
      <name val="Arial"/>
    </font>
    <font>
      <i/>
      <u/>
      <sz val="10.0"/>
      <color rgb="FFFFFFFF"/>
      <name val="Arial"/>
    </font>
    <font>
      <i/>
      <u/>
      <sz val="10.0"/>
      <color rgb="FFFFFFFF"/>
      <name val="Arial"/>
    </font>
    <font>
      <i/>
      <u/>
      <sz val="10.0"/>
      <color rgb="FFFFFFFF"/>
      <name val="Arial"/>
    </font>
    <font>
      <i/>
      <u/>
      <sz val="10.0"/>
      <color rgb="FFFFFFFF"/>
      <name val="Arial"/>
    </font>
    <font>
      <i/>
      <u/>
      <sz val="10.0"/>
      <color rgb="FFFFFFFF"/>
      <name val="Arial"/>
    </font>
    <font>
      <i/>
      <u/>
      <sz val="10.0"/>
      <color rgb="FFFFFFFF"/>
      <name val="Arial"/>
    </font>
    <font>
      <b/>
      <u/>
      <sz val="10.0"/>
      <color rgb="FFFFFFFF"/>
      <name val="Arial"/>
    </font>
    <font>
      <i/>
      <u/>
      <sz val="10.0"/>
      <color rgb="FFFFFFFF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theme="9"/>
        <bgColor theme="9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3" fontId="4" numFmtId="0" xfId="0" applyBorder="1" applyFill="1" applyFont="1"/>
    <xf borderId="9" fillId="0" fontId="4" numFmtId="0" xfId="0" applyBorder="1" applyFont="1"/>
    <xf borderId="10" fillId="0" fontId="4" numFmtId="0" xfId="0" applyBorder="1" applyFont="1"/>
    <xf borderId="8" fillId="4" fontId="4" numFmtId="0" xfId="0" applyBorder="1" applyFill="1" applyFont="1"/>
    <xf borderId="8" fillId="5" fontId="4" numFmtId="0" xfId="0" applyBorder="1" applyFill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0" fillId="0" fontId="5" numFmtId="0" xfId="0" applyFont="1"/>
    <xf borderId="0" fillId="0" fontId="6" numFmtId="0" xfId="0" applyFont="1"/>
    <xf borderId="0" fillId="0" fontId="4" numFmtId="0" xfId="0" applyFont="1"/>
    <xf borderId="15" fillId="3" fontId="7" numFmtId="0" xfId="0" applyBorder="1" applyFont="1"/>
    <xf borderId="15" fillId="6" fontId="8" numFmtId="0" xfId="0" applyBorder="1" applyFill="1" applyFont="1"/>
    <xf borderId="15" fillId="6" fontId="9" numFmtId="0" xfId="0" applyAlignment="1" applyBorder="1" applyFont="1">
      <alignment horizontal="left"/>
    </xf>
    <xf borderId="15" fillId="7" fontId="10" numFmtId="0" xfId="0" applyBorder="1" applyFill="1" applyFont="1"/>
    <xf borderId="15" fillId="4" fontId="11" numFmtId="0" xfId="0" applyBorder="1" applyFont="1"/>
    <xf borderId="15" fillId="8" fontId="12" numFmtId="0" xfId="0" applyBorder="1" applyFill="1" applyFont="1"/>
    <xf borderId="15" fillId="3" fontId="13" numFmtId="0" xfId="0" applyAlignment="1" applyBorder="1" applyFont="1">
      <alignment shrinkToFit="0" wrapText="1"/>
    </xf>
    <xf borderId="15" fillId="4" fontId="14" numFmtId="0" xfId="0" applyAlignment="1" applyBorder="1" applyFont="1">
      <alignment shrinkToFit="0" wrapText="1"/>
    </xf>
    <xf borderId="0" fillId="0" fontId="15" numFmtId="0" xfId="0" applyAlignment="1" applyFont="1">
      <alignment vertical="top"/>
    </xf>
    <xf borderId="0" fillId="0" fontId="16" numFmtId="0" xfId="0" applyFont="1"/>
    <xf borderId="0" fillId="0" fontId="4" numFmtId="0" xfId="0" applyFont="1"/>
    <xf borderId="0" fillId="0" fontId="17" numFmtId="0" xfId="0" applyFont="1"/>
    <xf borderId="0" fillId="0" fontId="17" numFmtId="0" xfId="0" applyAlignment="1" applyFont="1">
      <alignment readingOrder="0"/>
    </xf>
    <xf borderId="0" fillId="0" fontId="17" numFmtId="0" xfId="0" applyAlignment="1" applyFont="1">
      <alignment readingOrder="0"/>
    </xf>
    <xf borderId="15" fillId="5" fontId="4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Glossary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Q126" displayName="Table_1" name="Table_1" id="1">
  <tableColumns count="43">
    <tableColumn name="Compound name given in datasets" id="1"/>
    <tableColumn name="Compound name for sorting" id="2"/>
    <tableColumn name="a.k.a.s" id="3"/>
    <tableColumn name="CASRN" id="4"/>
    <tableColumn name="Primary" id="5"/>
    <tableColumn name="Secondary" id="6"/>
    <tableColumn name="Tertiary" id="7"/>
    <tableColumn name="BTEXMN" id="8"/>
    <tableColumn name="DBP" id="9"/>
    <tableColumn name="Known JP-5 component" id="10"/>
    <tableColumn name="PAH" id="11"/>
    <tableColumn name="Pesticide" id="12"/>
    <tableColumn name="Herbicide" id="13"/>
    <tableColumn name="C" id="14"/>
    <tableColumn name="N" id="15"/>
    <tableColumn name="F" id="16"/>
    <tableColumn name="Cl" id="17"/>
    <tableColumn name="Br" id="18"/>
    <tableColumn name="1° alcohols" id="19"/>
    <tableColumn name="2° alcohols" id="20"/>
    <tableColumn name="3° alcohols" id="21"/>
    <tableColumn name="Ethers" id="22"/>
    <tableColumn name="Ketones" id="23"/>
    <tableColumn name="Aldehydes" id="24"/>
    <tableColumn name="Esters" id="25"/>
    <tableColumn name="Epoxides" id="26"/>
    <tableColumn name="Amines" id="27"/>
    <tableColumn name="Halogenated" id="28"/>
    <tableColumn name="Saturated" id="29"/>
    <tableColumn name="NPDWR" id="30"/>
    <tableColumn name="MCL" id="31"/>
    <tableColumn name="MCLG" id="32"/>
    <tableColumn name="CCL5" id="33"/>
    <tableColumn name="Montreal Protocol" id="34"/>
    <tableColumn name="Stockholm Convention" id="35"/>
    <tableColumn name="Sources" id="36"/>
    <tableColumn name="Notes" id="37"/>
    <tableColumn name="jbphh_immediate_weck_12June2025.csv" id="38"/>
    <tableColumn name="jbphh_immediate_eurofins_12June2025.csv" id="39"/>
    <tableColumn name="merged_toc_tph_immediate_21Aug25.csv" id="40"/>
    <tableColumn name="TOC_immediate_jbphh_12Jun2025.csv" id="41"/>
    <tableColumn name="TPH_Eurofins_Only.csv" id="42"/>
    <tableColumn name="TPH_Weck_Only.csv" id="43"/>
  </tableColumns>
  <tableStyleInfo name="Gloss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8.88"/>
    <col customWidth="1" min="8" max="8" width="30.88"/>
    <col customWidth="1" min="9" max="26" width="8.88"/>
  </cols>
  <sheetData>
    <row r="1" ht="12.75" customHeight="1">
      <c r="A1" s="1" t="s">
        <v>0</v>
      </c>
      <c r="B1" s="2"/>
      <c r="C1" s="2"/>
      <c r="D1" s="2"/>
      <c r="E1" s="2"/>
      <c r="F1" s="3"/>
      <c r="H1" s="4" t="s">
        <v>1</v>
      </c>
    </row>
    <row r="2" ht="12.75" customHeight="1">
      <c r="A2" s="5"/>
      <c r="B2" s="6"/>
      <c r="C2" s="6"/>
      <c r="D2" s="6"/>
      <c r="E2" s="6"/>
      <c r="F2" s="7"/>
      <c r="H2" s="8" t="s">
        <v>2</v>
      </c>
    </row>
    <row r="3" ht="12.75" customHeight="1">
      <c r="A3" s="9" t="s">
        <v>3</v>
      </c>
      <c r="F3" s="10"/>
      <c r="H3" s="11" t="s">
        <v>4</v>
      </c>
    </row>
    <row r="4" ht="12.75" customHeight="1">
      <c r="A4" s="9" t="s">
        <v>5</v>
      </c>
      <c r="F4" s="10"/>
      <c r="H4" s="12" t="s">
        <v>6</v>
      </c>
    </row>
    <row r="5" ht="12.75" customHeight="1">
      <c r="A5" s="13" t="s">
        <v>7</v>
      </c>
      <c r="B5" s="14"/>
      <c r="C5" s="14"/>
      <c r="D5" s="14"/>
      <c r="E5" s="14"/>
      <c r="F5" s="15"/>
      <c r="H5" s="16" t="s">
        <v>8</v>
      </c>
    </row>
    <row r="6" ht="12.75" customHeight="1"/>
    <row r="7" ht="12.75" customHeight="1">
      <c r="A7" s="17" t="s">
        <v>9</v>
      </c>
    </row>
    <row r="8" ht="12.75" customHeight="1">
      <c r="A8" s="18" t="s">
        <v>10</v>
      </c>
    </row>
    <row r="9" ht="12.75" customHeight="1">
      <c r="A9" s="19" t="s">
        <v>11</v>
      </c>
    </row>
    <row r="10" ht="12.75" customHeight="1">
      <c r="A10" s="19" t="s">
        <v>12</v>
      </c>
    </row>
    <row r="11" ht="12.75" customHeight="1">
      <c r="B11" s="19" t="s">
        <v>13</v>
      </c>
    </row>
    <row r="12" ht="12.75" customHeight="1">
      <c r="B12" s="19" t="s">
        <v>14</v>
      </c>
    </row>
    <row r="13" ht="12.75" customHeight="1">
      <c r="B13" s="19" t="s">
        <v>15</v>
      </c>
    </row>
    <row r="14" ht="12.75" customHeight="1">
      <c r="A14" s="19" t="s">
        <v>16</v>
      </c>
    </row>
    <row r="15" ht="12.75" customHeight="1"/>
    <row r="16" ht="12.75" customHeight="1">
      <c r="A16" s="18" t="s">
        <v>17</v>
      </c>
    </row>
    <row r="17" ht="12.75" customHeight="1">
      <c r="A17" s="19" t="s">
        <v>18</v>
      </c>
    </row>
    <row r="18" ht="12.75" customHeight="1">
      <c r="A18" s="19" t="s">
        <v>19</v>
      </c>
    </row>
    <row r="19" ht="12.75" customHeight="1">
      <c r="B19" s="19" t="s">
        <v>20</v>
      </c>
    </row>
    <row r="20" ht="12.75" customHeight="1">
      <c r="B20" s="19" t="s">
        <v>21</v>
      </c>
    </row>
    <row r="21" ht="12.75" customHeight="1">
      <c r="C21" s="19" t="s">
        <v>22</v>
      </c>
    </row>
    <row r="22" ht="12.75" customHeight="1">
      <c r="C22" s="19" t="s">
        <v>23</v>
      </c>
    </row>
    <row r="23" ht="12.75" customHeight="1">
      <c r="B23" s="19" t="s">
        <v>24</v>
      </c>
    </row>
    <row r="24" ht="12.75" customHeight="1">
      <c r="B24" s="19" t="s">
        <v>25</v>
      </c>
    </row>
    <row r="25" ht="12.75" customHeight="1">
      <c r="A25" s="19" t="s">
        <v>26</v>
      </c>
    </row>
    <row r="26" ht="12.75" customHeight="1">
      <c r="B26" s="19" t="s">
        <v>27</v>
      </c>
    </row>
    <row r="27" ht="12.75" customHeight="1">
      <c r="B27" s="19" t="s">
        <v>28</v>
      </c>
    </row>
    <row r="28" ht="12.75" customHeight="1">
      <c r="C28" s="19" t="s">
        <v>29</v>
      </c>
    </row>
    <row r="29" ht="12.75" customHeight="1">
      <c r="C29" s="19" t="s">
        <v>30</v>
      </c>
    </row>
    <row r="30" ht="12.75" customHeight="1">
      <c r="C30" s="19" t="s">
        <v>31</v>
      </c>
    </row>
    <row r="31" ht="12.75" customHeight="1">
      <c r="C31" s="19" t="s">
        <v>32</v>
      </c>
    </row>
    <row r="32" ht="12.75" customHeight="1">
      <c r="C32" s="19" t="s">
        <v>33</v>
      </c>
    </row>
    <row r="33" ht="12.75" customHeight="1">
      <c r="C33" s="19" t="s">
        <v>34</v>
      </c>
    </row>
    <row r="34" ht="12.75" customHeight="1">
      <c r="A34" s="19" t="s">
        <v>35</v>
      </c>
    </row>
    <row r="35" ht="12.75" customHeight="1">
      <c r="A35" s="19" t="s">
        <v>36</v>
      </c>
    </row>
    <row r="36" ht="12.75" customHeight="1">
      <c r="A36" s="19" t="s">
        <v>37</v>
      </c>
    </row>
    <row r="37" ht="12.75" customHeight="1">
      <c r="B37" s="19" t="s">
        <v>38</v>
      </c>
    </row>
    <row r="38" ht="12.75" customHeight="1">
      <c r="C38" s="19" t="s">
        <v>39</v>
      </c>
    </row>
    <row r="39" ht="12.75" customHeight="1">
      <c r="C39" s="19" t="s">
        <v>40</v>
      </c>
    </row>
    <row r="40" ht="12.75" customHeight="1">
      <c r="C40" s="19" t="s">
        <v>41</v>
      </c>
    </row>
    <row r="41" ht="12.75" customHeight="1">
      <c r="B41" s="19" t="s">
        <v>42</v>
      </c>
    </row>
    <row r="42" ht="12.75" customHeight="1">
      <c r="C42" s="19" t="s">
        <v>43</v>
      </c>
    </row>
    <row r="43" ht="12.75" customHeight="1">
      <c r="C43" s="19" t="s">
        <v>44</v>
      </c>
    </row>
    <row r="44" ht="12.75" customHeight="1">
      <c r="C44" s="19" t="s">
        <v>45</v>
      </c>
    </row>
    <row r="45" ht="12.75" customHeight="1">
      <c r="C45" s="19" t="s">
        <v>46</v>
      </c>
    </row>
    <row r="46" ht="12.75" customHeight="1">
      <c r="B46" s="19" t="s">
        <v>47</v>
      </c>
    </row>
    <row r="47" ht="12.75" customHeight="1">
      <c r="C47" s="19" t="s">
        <v>48</v>
      </c>
    </row>
    <row r="48" ht="12.75" customHeight="1">
      <c r="C48" s="19" t="s">
        <v>49</v>
      </c>
    </row>
    <row r="49" ht="12.75" customHeight="1">
      <c r="A49" s="19" t="s">
        <v>50</v>
      </c>
    </row>
    <row r="50" ht="12.75" customHeight="1">
      <c r="B50" s="19" t="s">
        <v>51</v>
      </c>
    </row>
    <row r="51" ht="12.75" customHeight="1">
      <c r="B51" s="19" t="s">
        <v>52</v>
      </c>
    </row>
    <row r="52" ht="12.75" customHeight="1">
      <c r="B52" s="19" t="s">
        <v>53</v>
      </c>
    </row>
    <row r="53" ht="12.75" customHeight="1">
      <c r="B53" s="19" t="s">
        <v>54</v>
      </c>
    </row>
    <row r="54" ht="12.75" customHeight="1">
      <c r="C54" s="19" t="s">
        <v>55</v>
      </c>
    </row>
    <row r="55" ht="12.75" customHeight="1">
      <c r="D55" s="19" t="s">
        <v>56</v>
      </c>
    </row>
    <row r="56" ht="12.75" customHeight="1">
      <c r="D56" s="19" t="s">
        <v>57</v>
      </c>
    </row>
    <row r="57" ht="12.75" customHeight="1">
      <c r="D57" s="19" t="s">
        <v>58</v>
      </c>
    </row>
    <row r="58" ht="12.75" customHeight="1">
      <c r="C58" s="19" t="s">
        <v>59</v>
      </c>
    </row>
    <row r="59" ht="12.75" customHeight="1">
      <c r="B59" s="19" t="s">
        <v>60</v>
      </c>
    </row>
    <row r="60" ht="12.75" customHeight="1">
      <c r="A60" s="19" t="s">
        <v>61</v>
      </c>
    </row>
    <row r="61" ht="12.75" customHeight="1">
      <c r="B61" s="19" t="s">
        <v>62</v>
      </c>
    </row>
    <row r="62" ht="12.75" customHeight="1">
      <c r="B62" s="19" t="s">
        <v>63</v>
      </c>
    </row>
    <row r="63" ht="12.75" customHeight="1">
      <c r="A63" s="19" t="s">
        <v>64</v>
      </c>
    </row>
    <row r="64" ht="12.75" customHeight="1">
      <c r="B64" s="19" t="s">
        <v>65</v>
      </c>
    </row>
    <row r="65" ht="12.75" customHeight="1">
      <c r="B65" s="19" t="s">
        <v>66</v>
      </c>
    </row>
    <row r="66" ht="12.75" customHeight="1">
      <c r="B66" s="19" t="s">
        <v>67</v>
      </c>
    </row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1.88"/>
    <col customWidth="1" min="2" max="2" width="26.13"/>
    <col customWidth="1" min="3" max="3" width="67.88"/>
    <col customWidth="1" min="4" max="4" width="9.5"/>
    <col customWidth="1" min="5" max="5" width="11.88"/>
    <col customWidth="1" min="6" max="6" width="18.0"/>
    <col customWidth="1" min="7" max="7" width="20.63"/>
    <col customWidth="1" min="8" max="8" width="10.63"/>
    <col customWidth="1" min="9" max="9" width="7.13"/>
    <col customWidth="1" min="10" max="10" width="22.88"/>
    <col customWidth="1" min="11" max="11" width="7.13"/>
    <col customWidth="1" min="12" max="12" width="11.38"/>
    <col customWidth="1" min="13" max="13" width="11.5"/>
    <col customWidth="1" min="14" max="14" width="28.5"/>
    <col customWidth="1" min="15" max="15" width="4.88"/>
    <col customWidth="1" min="16" max="16" width="4.63"/>
    <col customWidth="1" min="17" max="17" width="5.38"/>
    <col customWidth="1" min="18" max="18" width="5.5"/>
    <col customWidth="1" min="19" max="21" width="12.88"/>
    <col customWidth="1" min="22" max="22" width="9.0"/>
    <col customWidth="1" min="23" max="23" width="10.38"/>
    <col customWidth="1" min="24" max="24" width="12.38"/>
    <col customWidth="1" min="25" max="25" width="9.0"/>
    <col customWidth="1" min="26" max="26" width="11.38"/>
    <col customWidth="1" min="27" max="27" width="9.88"/>
    <col customWidth="1" min="28" max="28" width="13.88"/>
    <col customWidth="1" min="29" max="29" width="11.5"/>
    <col customWidth="1" min="30" max="30" width="10.5"/>
    <col customWidth="1" min="31" max="31" width="7.13"/>
    <col customWidth="1" min="32" max="32" width="8.5"/>
    <col customWidth="1" min="33" max="33" width="8.0"/>
    <col customWidth="1" min="34" max="34" width="18.0"/>
    <col customWidth="1" min="35" max="35" width="43.38"/>
    <col customWidth="1" min="36" max="36" width="145.75"/>
    <col customWidth="1" min="37" max="37" width="88.0"/>
    <col customWidth="1" min="38" max="38" width="37.5"/>
    <col customWidth="1" min="39" max="39" width="39.88"/>
    <col customWidth="1" min="40" max="40" width="38.0"/>
    <col customWidth="1" min="41" max="41" width="35.63"/>
    <col customWidth="1" min="42" max="42" width="23.13"/>
    <col customWidth="1" min="43" max="43" width="20.88"/>
  </cols>
  <sheetData>
    <row r="1" ht="12.75" customHeight="1">
      <c r="A1" s="20" t="s">
        <v>68</v>
      </c>
      <c r="B1" s="20" t="s">
        <v>69</v>
      </c>
      <c r="C1" s="21" t="s">
        <v>70</v>
      </c>
      <c r="D1" s="22" t="s">
        <v>71</v>
      </c>
      <c r="E1" s="20" t="s">
        <v>72</v>
      </c>
      <c r="F1" s="23" t="s">
        <v>73</v>
      </c>
      <c r="G1" s="23" t="s">
        <v>74</v>
      </c>
      <c r="H1" s="20" t="s">
        <v>75</v>
      </c>
      <c r="I1" s="20" t="s">
        <v>76</v>
      </c>
      <c r="J1" s="24" t="s">
        <v>77</v>
      </c>
      <c r="K1" s="20" t="s">
        <v>78</v>
      </c>
      <c r="L1" s="21" t="s">
        <v>79</v>
      </c>
      <c r="M1" s="21" t="s">
        <v>80</v>
      </c>
      <c r="N1" s="21" t="s">
        <v>81</v>
      </c>
      <c r="O1" s="21" t="s">
        <v>82</v>
      </c>
      <c r="P1" s="21" t="s">
        <v>83</v>
      </c>
      <c r="Q1" s="21" t="s">
        <v>84</v>
      </c>
      <c r="R1" s="21" t="s">
        <v>85</v>
      </c>
      <c r="S1" s="20" t="s">
        <v>86</v>
      </c>
      <c r="T1" s="20" t="s">
        <v>87</v>
      </c>
      <c r="U1" s="20" t="s">
        <v>88</v>
      </c>
      <c r="V1" s="20" t="s">
        <v>44</v>
      </c>
      <c r="W1" s="20" t="s">
        <v>89</v>
      </c>
      <c r="X1" s="20" t="s">
        <v>90</v>
      </c>
      <c r="Y1" s="20" t="s">
        <v>46</v>
      </c>
      <c r="Z1" s="20" t="s">
        <v>91</v>
      </c>
      <c r="AA1" s="20" t="s">
        <v>92</v>
      </c>
      <c r="AB1" s="25" t="s">
        <v>93</v>
      </c>
      <c r="AC1" s="20" t="s">
        <v>94</v>
      </c>
      <c r="AD1" s="26" t="s">
        <v>95</v>
      </c>
      <c r="AE1" s="21" t="s">
        <v>96</v>
      </c>
      <c r="AF1" s="21" t="s">
        <v>97</v>
      </c>
      <c r="AG1" s="27" t="s">
        <v>98</v>
      </c>
      <c r="AH1" s="21" t="s">
        <v>99</v>
      </c>
      <c r="AI1" s="24" t="s">
        <v>100</v>
      </c>
      <c r="AJ1" s="28" t="s">
        <v>101</v>
      </c>
      <c r="AK1" s="28" t="s">
        <v>102</v>
      </c>
      <c r="AL1" s="29" t="s">
        <v>103</v>
      </c>
      <c r="AM1" s="29" t="s">
        <v>104</v>
      </c>
      <c r="AN1" s="29" t="s">
        <v>105</v>
      </c>
      <c r="AO1" s="29" t="s">
        <v>106</v>
      </c>
      <c r="AP1" s="29" t="s">
        <v>107</v>
      </c>
      <c r="AQ1" s="29" t="s">
        <v>108</v>
      </c>
    </row>
    <row r="2" ht="12.75" customHeight="1">
      <c r="A2" s="30" t="s">
        <v>109</v>
      </c>
      <c r="B2" s="30" t="s">
        <v>109</v>
      </c>
      <c r="C2" s="30" t="s">
        <v>110</v>
      </c>
      <c r="D2" s="30" t="s">
        <v>111</v>
      </c>
      <c r="E2" s="30" t="s">
        <v>112</v>
      </c>
      <c r="F2" s="31"/>
      <c r="G2" s="31"/>
      <c r="H2" s="31"/>
      <c r="I2" s="31"/>
      <c r="J2" s="30" t="b">
        <v>1</v>
      </c>
      <c r="K2" s="31"/>
      <c r="L2" s="31"/>
      <c r="M2" s="31"/>
      <c r="N2" s="30">
        <v>5.0</v>
      </c>
      <c r="O2" s="31"/>
      <c r="P2" s="31"/>
      <c r="Q2" s="31"/>
      <c r="R2" s="31"/>
      <c r="S2" s="30">
        <v>1.0</v>
      </c>
      <c r="T2" s="31"/>
      <c r="U2" s="31"/>
      <c r="V2" s="30">
        <v>2.0</v>
      </c>
      <c r="W2" s="31"/>
      <c r="X2" s="31"/>
      <c r="Y2" s="31"/>
      <c r="Z2" s="31"/>
      <c r="AA2" s="31"/>
      <c r="AB2" s="30" t="b">
        <f t="shared" ref="AB2:AB6" si="1">OR(P2&gt;0,Q2&gt;0,R2&gt;0)</f>
        <v>0</v>
      </c>
      <c r="AC2" s="30" t="b">
        <v>1</v>
      </c>
      <c r="AD2" s="31"/>
      <c r="AE2" s="31"/>
      <c r="AF2" s="31"/>
      <c r="AG2" s="31"/>
      <c r="AH2" s="31"/>
      <c r="AI2" s="31"/>
      <c r="AJ2" s="30" t="s">
        <v>113</v>
      </c>
      <c r="AK2" s="31"/>
      <c r="AL2" s="30" t="b">
        <v>1</v>
      </c>
      <c r="AM2" s="31"/>
      <c r="AN2" s="31"/>
      <c r="AO2" s="31"/>
      <c r="AP2" s="31"/>
      <c r="AQ2" s="31"/>
    </row>
    <row r="3" ht="12.75" customHeight="1">
      <c r="A3" s="30" t="s">
        <v>114</v>
      </c>
      <c r="B3" s="30" t="s">
        <v>115</v>
      </c>
      <c r="C3" s="30" t="s">
        <v>116</v>
      </c>
      <c r="D3" s="30" t="s">
        <v>117</v>
      </c>
      <c r="E3" s="30" t="s">
        <v>118</v>
      </c>
      <c r="F3" s="30" t="s">
        <v>119</v>
      </c>
      <c r="G3" s="31"/>
      <c r="H3" s="31"/>
      <c r="I3" s="31"/>
      <c r="J3" s="31"/>
      <c r="K3" s="30" t="b">
        <v>1</v>
      </c>
      <c r="L3" s="31"/>
      <c r="M3" s="31"/>
      <c r="N3" s="30">
        <v>12.0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0" t="b">
        <f t="shared" si="1"/>
        <v>0</v>
      </c>
      <c r="AC3" s="30" t="b">
        <v>0</v>
      </c>
      <c r="AD3" s="31"/>
      <c r="AE3" s="31"/>
      <c r="AF3" s="31"/>
      <c r="AG3" s="31"/>
      <c r="AH3" s="31"/>
      <c r="AI3" s="31"/>
      <c r="AJ3" s="32" t="s">
        <v>120</v>
      </c>
      <c r="AK3" s="31"/>
      <c r="AL3" s="30" t="b">
        <v>1</v>
      </c>
      <c r="AM3" s="31"/>
      <c r="AN3" s="31"/>
      <c r="AO3" s="31"/>
      <c r="AP3" s="31"/>
      <c r="AQ3" s="31"/>
    </row>
    <row r="4" ht="12.75" customHeight="1">
      <c r="A4" s="30" t="s">
        <v>121</v>
      </c>
      <c r="B4" s="30" t="s">
        <v>122</v>
      </c>
      <c r="C4" s="31"/>
      <c r="D4" s="30" t="s">
        <v>123</v>
      </c>
      <c r="E4" s="30" t="s">
        <v>118</v>
      </c>
      <c r="F4" s="30" t="s">
        <v>119</v>
      </c>
      <c r="G4" s="31"/>
      <c r="H4" s="31"/>
      <c r="I4" s="31"/>
      <c r="J4" s="31"/>
      <c r="K4" s="30" t="b">
        <v>1</v>
      </c>
      <c r="L4" s="31"/>
      <c r="M4" s="31"/>
      <c r="N4" s="30">
        <v>12.0</v>
      </c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0" t="b">
        <f t="shared" si="1"/>
        <v>0</v>
      </c>
      <c r="AC4" s="30" t="b">
        <v>0</v>
      </c>
      <c r="AD4" s="31"/>
      <c r="AE4" s="31"/>
      <c r="AF4" s="31"/>
      <c r="AG4" s="31"/>
      <c r="AH4" s="31"/>
      <c r="AI4" s="31"/>
      <c r="AJ4" s="32" t="s">
        <v>124</v>
      </c>
      <c r="AK4" s="31"/>
      <c r="AL4" s="30" t="b">
        <v>1</v>
      </c>
      <c r="AM4" s="31"/>
      <c r="AN4" s="31"/>
      <c r="AO4" s="31"/>
      <c r="AP4" s="31"/>
      <c r="AQ4" s="31"/>
    </row>
    <row r="5" ht="12.75" customHeight="1">
      <c r="A5" s="30" t="s">
        <v>125</v>
      </c>
      <c r="B5" s="30" t="s">
        <v>125</v>
      </c>
      <c r="C5" s="30" t="s">
        <v>126</v>
      </c>
      <c r="D5" s="30" t="s">
        <v>127</v>
      </c>
      <c r="E5" s="30" t="s">
        <v>118</v>
      </c>
      <c r="F5" s="30" t="s">
        <v>128</v>
      </c>
      <c r="G5" s="31"/>
      <c r="H5" s="31"/>
      <c r="I5" s="31"/>
      <c r="J5" s="31"/>
      <c r="K5" s="31"/>
      <c r="L5" s="31"/>
      <c r="M5" s="30" t="b">
        <v>1</v>
      </c>
      <c r="N5" s="30">
        <v>14.0</v>
      </c>
      <c r="O5" s="30">
        <v>1.0</v>
      </c>
      <c r="P5" s="31"/>
      <c r="Q5" s="30">
        <v>1.0</v>
      </c>
      <c r="R5" s="31"/>
      <c r="S5" s="31"/>
      <c r="T5" s="31"/>
      <c r="U5" s="31"/>
      <c r="V5" s="31"/>
      <c r="W5" s="31"/>
      <c r="X5" s="31"/>
      <c r="Y5" s="31"/>
      <c r="Z5" s="31"/>
      <c r="AA5" s="31"/>
      <c r="AB5" s="30" t="b">
        <f t="shared" si="1"/>
        <v>1</v>
      </c>
      <c r="AC5" s="30" t="b">
        <v>0</v>
      </c>
      <c r="AD5" s="30" t="b">
        <v>1</v>
      </c>
      <c r="AE5" s="31"/>
      <c r="AF5" s="31"/>
      <c r="AG5" s="31"/>
      <c r="AH5" s="31"/>
      <c r="AI5" s="31"/>
      <c r="AJ5" s="32" t="s">
        <v>129</v>
      </c>
      <c r="AK5" s="31"/>
      <c r="AL5" s="30" t="b">
        <v>1</v>
      </c>
      <c r="AM5" s="31"/>
      <c r="AN5" s="31"/>
      <c r="AO5" s="31"/>
      <c r="AP5" s="31"/>
      <c r="AQ5" s="31"/>
    </row>
    <row r="6" ht="12.75" customHeight="1">
      <c r="A6" s="30" t="s">
        <v>130</v>
      </c>
      <c r="B6" s="30" t="s">
        <v>131</v>
      </c>
      <c r="C6" s="31"/>
      <c r="D6" s="30" t="s">
        <v>132</v>
      </c>
      <c r="E6" s="30" t="s">
        <v>118</v>
      </c>
      <c r="F6" s="30" t="s">
        <v>130</v>
      </c>
      <c r="G6" s="31"/>
      <c r="H6" s="31"/>
      <c r="I6" s="31"/>
      <c r="J6" s="31"/>
      <c r="K6" s="30" t="b">
        <v>1</v>
      </c>
      <c r="L6" s="31"/>
      <c r="M6" s="31"/>
      <c r="N6" s="30">
        <v>14.0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0" t="b">
        <f t="shared" si="1"/>
        <v>0</v>
      </c>
      <c r="AC6" s="30" t="b">
        <v>0</v>
      </c>
      <c r="AD6" s="31"/>
      <c r="AE6" s="31"/>
      <c r="AF6" s="31"/>
      <c r="AG6" s="31"/>
      <c r="AH6" s="31"/>
      <c r="AI6" s="31"/>
      <c r="AJ6" s="32" t="s">
        <v>133</v>
      </c>
      <c r="AK6" s="31"/>
      <c r="AL6" s="30" t="b">
        <v>1</v>
      </c>
      <c r="AM6" s="31"/>
      <c r="AN6" s="31"/>
      <c r="AO6" s="31"/>
      <c r="AP6" s="31"/>
      <c r="AQ6" s="31"/>
    </row>
    <row r="7" ht="12.75" customHeight="1">
      <c r="A7" s="30" t="s">
        <v>134</v>
      </c>
      <c r="B7" s="30" t="s">
        <v>135</v>
      </c>
      <c r="C7" s="31"/>
      <c r="D7" s="30" t="s">
        <v>136</v>
      </c>
      <c r="E7" s="30" t="s">
        <v>137</v>
      </c>
      <c r="F7" s="30" t="s">
        <v>138</v>
      </c>
      <c r="G7" s="30" t="s">
        <v>139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0" t="s">
        <v>140</v>
      </c>
      <c r="AC7" s="30" t="s">
        <v>140</v>
      </c>
      <c r="AD7" s="30" t="b">
        <v>1</v>
      </c>
      <c r="AE7" s="31"/>
      <c r="AF7" s="31"/>
      <c r="AG7" s="31"/>
      <c r="AH7" s="31"/>
      <c r="AI7" s="31"/>
      <c r="AJ7" s="32" t="s">
        <v>141</v>
      </c>
      <c r="AK7" s="31"/>
      <c r="AL7" s="30" t="b">
        <v>1</v>
      </c>
      <c r="AM7" s="31"/>
      <c r="AN7" s="31"/>
      <c r="AO7" s="31"/>
      <c r="AP7" s="31"/>
      <c r="AQ7" s="31"/>
    </row>
    <row r="8" ht="12.75" customHeight="1">
      <c r="A8" s="30" t="s">
        <v>142</v>
      </c>
      <c r="B8" s="30" t="s">
        <v>143</v>
      </c>
      <c r="C8" s="31"/>
      <c r="D8" s="30" t="s">
        <v>144</v>
      </c>
      <c r="E8" s="30" t="s">
        <v>137</v>
      </c>
      <c r="F8" s="30" t="s">
        <v>138</v>
      </c>
      <c r="G8" s="30" t="s">
        <v>139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0" t="s">
        <v>140</v>
      </c>
      <c r="AC8" s="30" t="s">
        <v>140</v>
      </c>
      <c r="AD8" s="30" t="b">
        <v>1</v>
      </c>
      <c r="AE8" s="31"/>
      <c r="AF8" s="31"/>
      <c r="AG8" s="31"/>
      <c r="AH8" s="31"/>
      <c r="AI8" s="31"/>
      <c r="AJ8" s="32" t="s">
        <v>145</v>
      </c>
      <c r="AK8" s="31"/>
      <c r="AL8" s="30" t="b">
        <v>1</v>
      </c>
      <c r="AM8" s="31"/>
      <c r="AN8" s="31"/>
      <c r="AO8" s="31"/>
      <c r="AP8" s="31"/>
      <c r="AQ8" s="31"/>
    </row>
    <row r="9" ht="12.75" customHeight="1">
      <c r="A9" s="30" t="s">
        <v>146</v>
      </c>
      <c r="B9" s="30" t="s">
        <v>146</v>
      </c>
      <c r="C9" s="31"/>
      <c r="D9" s="30" t="s">
        <v>147</v>
      </c>
      <c r="E9" s="30" t="s">
        <v>118</v>
      </c>
      <c r="F9" s="30" t="s">
        <v>148</v>
      </c>
      <c r="G9" s="31"/>
      <c r="H9" s="31"/>
      <c r="I9" s="31"/>
      <c r="J9" s="31"/>
      <c r="K9" s="31"/>
      <c r="L9" s="31"/>
      <c r="M9" s="30" t="b">
        <v>1</v>
      </c>
      <c r="N9" s="30">
        <v>8.0</v>
      </c>
      <c r="O9" s="30">
        <v>5.0</v>
      </c>
      <c r="P9" s="31"/>
      <c r="Q9" s="30">
        <v>1.0</v>
      </c>
      <c r="R9" s="31"/>
      <c r="S9" s="31"/>
      <c r="T9" s="31"/>
      <c r="U9" s="31"/>
      <c r="V9" s="31"/>
      <c r="W9" s="31"/>
      <c r="X9" s="31"/>
      <c r="Y9" s="31"/>
      <c r="Z9" s="31"/>
      <c r="AA9" s="31"/>
      <c r="AB9" s="30" t="b">
        <f>OR(P9&gt;0,Q9&gt;0,R9&gt;0)</f>
        <v>1</v>
      </c>
      <c r="AC9" s="30" t="b">
        <v>0</v>
      </c>
      <c r="AD9" s="30" t="b">
        <v>1</v>
      </c>
      <c r="AE9" s="31"/>
      <c r="AF9" s="31"/>
      <c r="AG9" s="31"/>
      <c r="AH9" s="31"/>
      <c r="AI9" s="31"/>
      <c r="AJ9" s="32" t="s">
        <v>149</v>
      </c>
      <c r="AK9" s="31"/>
      <c r="AL9" s="30" t="b">
        <v>1</v>
      </c>
      <c r="AM9" s="31"/>
      <c r="AN9" s="31"/>
      <c r="AO9" s="31"/>
      <c r="AP9" s="31"/>
      <c r="AQ9" s="31"/>
    </row>
    <row r="10" ht="12.75" customHeight="1">
      <c r="A10" s="30" t="s">
        <v>150</v>
      </c>
      <c r="B10" s="30" t="s">
        <v>151</v>
      </c>
      <c r="C10" s="31"/>
      <c r="D10" s="30" t="s">
        <v>152</v>
      </c>
      <c r="E10" s="30" t="s">
        <v>137</v>
      </c>
      <c r="F10" s="30" t="s">
        <v>138</v>
      </c>
      <c r="G10" s="30" t="s">
        <v>153</v>
      </c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0" t="s">
        <v>140</v>
      </c>
      <c r="AC10" s="30" t="s">
        <v>140</v>
      </c>
      <c r="AD10" s="30" t="b">
        <v>1</v>
      </c>
      <c r="AE10" s="31"/>
      <c r="AF10" s="31"/>
      <c r="AG10" s="31"/>
      <c r="AH10" s="31"/>
      <c r="AI10" s="31"/>
      <c r="AJ10" s="32" t="s">
        <v>154</v>
      </c>
      <c r="AK10" s="31"/>
      <c r="AL10" s="30" t="b">
        <v>1</v>
      </c>
      <c r="AM10" s="31"/>
      <c r="AN10" s="31"/>
      <c r="AO10" s="31"/>
      <c r="AP10" s="31"/>
      <c r="AQ10" s="31"/>
    </row>
    <row r="11" ht="12.75" customHeight="1">
      <c r="A11" s="30" t="s">
        <v>155</v>
      </c>
      <c r="B11" s="30" t="s">
        <v>156</v>
      </c>
      <c r="C11" s="31"/>
      <c r="D11" s="30" t="s">
        <v>157</v>
      </c>
      <c r="E11" s="30" t="s">
        <v>118</v>
      </c>
      <c r="F11" s="30" t="s">
        <v>155</v>
      </c>
      <c r="G11" s="31"/>
      <c r="H11" s="30" t="b">
        <v>1</v>
      </c>
      <c r="I11" s="31"/>
      <c r="J11" s="30" t="b">
        <v>1</v>
      </c>
      <c r="K11" s="31"/>
      <c r="L11" s="31"/>
      <c r="M11" s="31"/>
      <c r="N11" s="30">
        <v>6.0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0" t="b">
        <f t="shared" ref="AB11:AB17" si="2">OR(P11&gt;0,Q11&gt;0,R11&gt;0)</f>
        <v>0</v>
      </c>
      <c r="AC11" s="30" t="b">
        <v>0</v>
      </c>
      <c r="AD11" s="30" t="b">
        <v>1</v>
      </c>
      <c r="AE11" s="31"/>
      <c r="AF11" s="31"/>
      <c r="AG11" s="31"/>
      <c r="AH11" s="31"/>
      <c r="AI11" s="31"/>
      <c r="AJ11" s="32" t="s">
        <v>158</v>
      </c>
      <c r="AK11" s="31"/>
      <c r="AL11" s="30" t="b">
        <v>1</v>
      </c>
      <c r="AM11" s="30" t="b">
        <v>1</v>
      </c>
      <c r="AN11" s="31"/>
      <c r="AO11" s="31"/>
      <c r="AP11" s="31"/>
      <c r="AQ11" s="31"/>
    </row>
    <row r="12" ht="12.75" customHeight="1">
      <c r="A12" s="30" t="s">
        <v>159</v>
      </c>
      <c r="B12" s="30" t="s">
        <v>160</v>
      </c>
      <c r="C12" s="30" t="s">
        <v>161</v>
      </c>
      <c r="D12" s="30" t="s">
        <v>162</v>
      </c>
      <c r="E12" s="30" t="s">
        <v>118</v>
      </c>
      <c r="F12" s="30" t="s">
        <v>78</v>
      </c>
      <c r="G12" s="31"/>
      <c r="H12" s="31"/>
      <c r="I12" s="31"/>
      <c r="J12" s="31"/>
      <c r="K12" s="30" t="b">
        <v>1</v>
      </c>
      <c r="L12" s="31"/>
      <c r="M12" s="31"/>
      <c r="N12" s="30">
        <v>18.0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0" t="b">
        <f t="shared" si="2"/>
        <v>0</v>
      </c>
      <c r="AC12" s="30" t="b">
        <v>0</v>
      </c>
      <c r="AD12" s="31"/>
      <c r="AE12" s="31"/>
      <c r="AF12" s="31"/>
      <c r="AG12" s="31"/>
      <c r="AH12" s="31"/>
      <c r="AI12" s="31"/>
      <c r="AJ12" s="32" t="s">
        <v>163</v>
      </c>
      <c r="AK12" s="31"/>
      <c r="AL12" s="30" t="b">
        <v>1</v>
      </c>
      <c r="AM12" s="31"/>
      <c r="AN12" s="31"/>
      <c r="AO12" s="31"/>
      <c r="AP12" s="31"/>
      <c r="AQ12" s="31"/>
    </row>
    <row r="13" ht="12.75" customHeight="1">
      <c r="A13" s="30" t="s">
        <v>164</v>
      </c>
      <c r="B13" s="30" t="s">
        <v>165</v>
      </c>
      <c r="C13" s="30" t="s">
        <v>166</v>
      </c>
      <c r="D13" s="30" t="s">
        <v>167</v>
      </c>
      <c r="E13" s="30" t="s">
        <v>118</v>
      </c>
      <c r="F13" s="30" t="s">
        <v>78</v>
      </c>
      <c r="G13" s="31"/>
      <c r="H13" s="31"/>
      <c r="I13" s="31"/>
      <c r="J13" s="31"/>
      <c r="K13" s="30" t="b">
        <v>1</v>
      </c>
      <c r="L13" s="31"/>
      <c r="M13" s="31"/>
      <c r="N13" s="30">
        <v>20.0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0" t="b">
        <f t="shared" si="2"/>
        <v>0</v>
      </c>
      <c r="AC13" s="30" t="b">
        <v>0</v>
      </c>
      <c r="AD13" s="30" t="b">
        <v>1</v>
      </c>
      <c r="AE13" s="31"/>
      <c r="AF13" s="31"/>
      <c r="AG13" s="31"/>
      <c r="AH13" s="31"/>
      <c r="AI13" s="31"/>
      <c r="AJ13" s="32" t="s">
        <v>168</v>
      </c>
      <c r="AK13" s="31"/>
      <c r="AL13" s="30" t="b">
        <v>1</v>
      </c>
      <c r="AM13" s="31"/>
      <c r="AN13" s="31"/>
      <c r="AO13" s="31"/>
      <c r="AP13" s="31"/>
      <c r="AQ13" s="31"/>
    </row>
    <row r="14" ht="12.75" customHeight="1">
      <c r="A14" s="30" t="s">
        <v>169</v>
      </c>
      <c r="B14" s="30" t="s">
        <v>170</v>
      </c>
      <c r="C14" s="30" t="s">
        <v>170</v>
      </c>
      <c r="D14" s="30" t="s">
        <v>171</v>
      </c>
      <c r="E14" s="30" t="s">
        <v>118</v>
      </c>
      <c r="F14" s="30" t="s">
        <v>78</v>
      </c>
      <c r="G14" s="31"/>
      <c r="H14" s="31"/>
      <c r="I14" s="31"/>
      <c r="J14" s="31"/>
      <c r="K14" s="30" t="b">
        <v>1</v>
      </c>
      <c r="L14" s="31"/>
      <c r="M14" s="31"/>
      <c r="N14" s="30">
        <v>20.0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0" t="b">
        <f t="shared" si="2"/>
        <v>0</v>
      </c>
      <c r="AC14" s="30" t="b">
        <v>0</v>
      </c>
      <c r="AD14" s="31"/>
      <c r="AE14" s="31"/>
      <c r="AF14" s="31"/>
      <c r="AG14" s="31"/>
      <c r="AH14" s="31"/>
      <c r="AI14" s="31"/>
      <c r="AJ14" s="32" t="s">
        <v>172</v>
      </c>
      <c r="AK14" s="31"/>
      <c r="AL14" s="30" t="b">
        <v>1</v>
      </c>
      <c r="AM14" s="31"/>
      <c r="AN14" s="31"/>
      <c r="AO14" s="31"/>
      <c r="AP14" s="31"/>
      <c r="AQ14" s="31"/>
    </row>
    <row r="15" ht="12.75" customHeight="1">
      <c r="A15" s="30" t="s">
        <v>173</v>
      </c>
      <c r="B15" s="30" t="s">
        <v>174</v>
      </c>
      <c r="C15" s="30" t="s">
        <v>175</v>
      </c>
      <c r="D15" s="30" t="s">
        <v>176</v>
      </c>
      <c r="E15" s="30" t="s">
        <v>118</v>
      </c>
      <c r="F15" s="30" t="s">
        <v>78</v>
      </c>
      <c r="G15" s="31"/>
      <c r="H15" s="31"/>
      <c r="I15" s="31"/>
      <c r="J15" s="31"/>
      <c r="K15" s="30" t="b">
        <v>1</v>
      </c>
      <c r="L15" s="31"/>
      <c r="M15" s="31"/>
      <c r="N15" s="30">
        <v>22.0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0" t="b">
        <f t="shared" si="2"/>
        <v>0</v>
      </c>
      <c r="AC15" s="30" t="b">
        <v>0</v>
      </c>
      <c r="AD15" s="31"/>
      <c r="AE15" s="31"/>
      <c r="AF15" s="31"/>
      <c r="AG15" s="31"/>
      <c r="AH15" s="31"/>
      <c r="AI15" s="31"/>
      <c r="AJ15" s="32" t="s">
        <v>177</v>
      </c>
      <c r="AK15" s="31"/>
      <c r="AL15" s="30" t="b">
        <v>1</v>
      </c>
      <c r="AM15" s="31"/>
      <c r="AN15" s="31"/>
      <c r="AO15" s="31"/>
      <c r="AP15" s="31"/>
      <c r="AQ15" s="31"/>
    </row>
    <row r="16" ht="12.75" customHeight="1">
      <c r="A16" s="30" t="s">
        <v>178</v>
      </c>
      <c r="B16" s="30" t="s">
        <v>179</v>
      </c>
      <c r="C16" s="30" t="s">
        <v>179</v>
      </c>
      <c r="D16" s="30" t="s">
        <v>180</v>
      </c>
      <c r="E16" s="30" t="s">
        <v>118</v>
      </c>
      <c r="F16" s="30" t="s">
        <v>78</v>
      </c>
      <c r="G16" s="31"/>
      <c r="H16" s="31"/>
      <c r="I16" s="31"/>
      <c r="J16" s="31"/>
      <c r="K16" s="30" t="b">
        <v>1</v>
      </c>
      <c r="L16" s="31"/>
      <c r="M16" s="31"/>
      <c r="N16" s="30">
        <v>20.0</v>
      </c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0" t="b">
        <f t="shared" si="2"/>
        <v>0</v>
      </c>
      <c r="AC16" s="30" t="b">
        <v>0</v>
      </c>
      <c r="AD16" s="31"/>
      <c r="AE16" s="31"/>
      <c r="AF16" s="31"/>
      <c r="AG16" s="31"/>
      <c r="AH16" s="31"/>
      <c r="AI16" s="31"/>
      <c r="AJ16" s="32" t="s">
        <v>181</v>
      </c>
      <c r="AK16" s="31"/>
      <c r="AL16" s="30" t="b">
        <v>1</v>
      </c>
      <c r="AM16" s="31"/>
      <c r="AN16" s="31"/>
      <c r="AO16" s="31"/>
      <c r="AP16" s="31"/>
      <c r="AQ16" s="31"/>
    </row>
    <row r="17" ht="12.75" customHeight="1">
      <c r="A17" s="30" t="s">
        <v>182</v>
      </c>
      <c r="B17" s="30" t="s">
        <v>183</v>
      </c>
      <c r="C17" s="30" t="s">
        <v>184</v>
      </c>
      <c r="D17" s="30" t="s">
        <v>185</v>
      </c>
      <c r="E17" s="30" t="s">
        <v>118</v>
      </c>
      <c r="F17" s="30" t="s">
        <v>78</v>
      </c>
      <c r="G17" s="31"/>
      <c r="H17" s="31"/>
      <c r="I17" s="31"/>
      <c r="J17" s="31"/>
      <c r="K17" s="30" t="b">
        <v>1</v>
      </c>
      <c r="L17" s="31"/>
      <c r="M17" s="31"/>
      <c r="N17" s="30">
        <v>22.0</v>
      </c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0" t="b">
        <f t="shared" si="2"/>
        <v>0</v>
      </c>
      <c r="AC17" s="30" t="b">
        <v>0</v>
      </c>
      <c r="AD17" s="31"/>
      <c r="AE17" s="31"/>
      <c r="AF17" s="31"/>
      <c r="AG17" s="31"/>
      <c r="AH17" s="31"/>
      <c r="AI17" s="31"/>
      <c r="AJ17" s="30" t="s">
        <v>186</v>
      </c>
      <c r="AK17" s="31"/>
      <c r="AL17" s="30" t="b">
        <v>1</v>
      </c>
      <c r="AM17" s="31"/>
      <c r="AN17" s="31"/>
      <c r="AO17" s="31"/>
      <c r="AP17" s="31"/>
      <c r="AQ17" s="31"/>
    </row>
    <row r="18" ht="12.75" customHeight="1">
      <c r="A18" s="30" t="s">
        <v>187</v>
      </c>
      <c r="B18" s="30" t="s">
        <v>188</v>
      </c>
      <c r="C18" s="31"/>
      <c r="D18" s="30" t="s">
        <v>189</v>
      </c>
      <c r="E18" s="30" t="s">
        <v>137</v>
      </c>
      <c r="F18" s="30" t="s">
        <v>138</v>
      </c>
      <c r="G18" s="30" t="s">
        <v>153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0" t="s">
        <v>140</v>
      </c>
      <c r="AC18" s="30" t="s">
        <v>140</v>
      </c>
      <c r="AD18" s="30" t="b">
        <v>1</v>
      </c>
      <c r="AE18" s="31"/>
      <c r="AF18" s="31"/>
      <c r="AG18" s="31"/>
      <c r="AH18" s="31"/>
      <c r="AI18" s="31"/>
      <c r="AJ18" s="32" t="s">
        <v>190</v>
      </c>
      <c r="AK18" s="31"/>
      <c r="AL18" s="30" t="b">
        <v>1</v>
      </c>
      <c r="AM18" s="31"/>
      <c r="AN18" s="31"/>
      <c r="AO18" s="31"/>
      <c r="AP18" s="31"/>
      <c r="AQ18" s="31"/>
    </row>
    <row r="19" ht="12.75" customHeight="1">
      <c r="A19" s="30" t="s">
        <v>191</v>
      </c>
      <c r="B19" s="30" t="s">
        <v>192</v>
      </c>
      <c r="C19" s="30" t="s">
        <v>193</v>
      </c>
      <c r="D19" s="30" t="s">
        <v>194</v>
      </c>
      <c r="E19" s="30" t="s">
        <v>195</v>
      </c>
      <c r="F19" s="30" t="s">
        <v>196</v>
      </c>
      <c r="G19" s="31"/>
      <c r="H19" s="31"/>
      <c r="I19" s="31"/>
      <c r="J19" s="31"/>
      <c r="K19" s="31"/>
      <c r="L19" s="31"/>
      <c r="M19" s="31"/>
      <c r="N19" s="30">
        <v>22.0</v>
      </c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0">
        <v>2.0</v>
      </c>
      <c r="Z19" s="30"/>
      <c r="AA19" s="30"/>
      <c r="AB19" s="30" t="b">
        <f t="shared" ref="AB19:AB29" si="3">OR(P19&gt;0,Q19&gt;0,R19&gt;0)</f>
        <v>0</v>
      </c>
      <c r="AC19" s="30" t="b">
        <v>0</v>
      </c>
      <c r="AD19" s="30" t="b">
        <v>1</v>
      </c>
      <c r="AE19" s="31"/>
      <c r="AF19" s="31"/>
      <c r="AG19" s="31"/>
      <c r="AH19" s="31"/>
      <c r="AI19" s="31"/>
      <c r="AJ19" s="30" t="s">
        <v>197</v>
      </c>
      <c r="AK19" s="31"/>
      <c r="AL19" s="30" t="b">
        <v>1</v>
      </c>
      <c r="AM19" s="31"/>
      <c r="AN19" s="31"/>
      <c r="AO19" s="31"/>
      <c r="AP19" s="31"/>
      <c r="AQ19" s="31"/>
    </row>
    <row r="20" ht="12.75" customHeight="1">
      <c r="A20" s="30" t="s">
        <v>198</v>
      </c>
      <c r="B20" s="30" t="s">
        <v>199</v>
      </c>
      <c r="C20" s="30" t="s">
        <v>200</v>
      </c>
      <c r="D20" s="30" t="s">
        <v>201</v>
      </c>
      <c r="E20" s="30" t="s">
        <v>118</v>
      </c>
      <c r="F20" s="30" t="s">
        <v>128</v>
      </c>
      <c r="G20" s="31"/>
      <c r="H20" s="31"/>
      <c r="I20" s="31"/>
      <c r="J20" s="31"/>
      <c r="K20" s="31"/>
      <c r="L20" s="31"/>
      <c r="M20" s="31"/>
      <c r="N20" s="30">
        <v>24.0</v>
      </c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0">
        <v>2.0</v>
      </c>
      <c r="Z20" s="30"/>
      <c r="AA20" s="30"/>
      <c r="AB20" s="30" t="b">
        <f t="shared" si="3"/>
        <v>0</v>
      </c>
      <c r="AC20" s="30" t="b">
        <v>0</v>
      </c>
      <c r="AD20" s="30" t="b">
        <v>1</v>
      </c>
      <c r="AE20" s="31"/>
      <c r="AF20" s="31"/>
      <c r="AG20" s="31"/>
      <c r="AH20" s="31"/>
      <c r="AI20" s="31"/>
      <c r="AJ20" s="32" t="s">
        <v>197</v>
      </c>
      <c r="AK20" s="31"/>
      <c r="AL20" s="30" t="b">
        <v>1</v>
      </c>
      <c r="AM20" s="31"/>
      <c r="AN20" s="31"/>
      <c r="AO20" s="31"/>
      <c r="AP20" s="31"/>
      <c r="AQ20" s="31"/>
    </row>
    <row r="21" ht="12.75" customHeight="1">
      <c r="A21" s="30" t="s">
        <v>202</v>
      </c>
      <c r="B21" s="30" t="s">
        <v>203</v>
      </c>
      <c r="C21" s="31"/>
      <c r="D21" s="30" t="s">
        <v>204</v>
      </c>
      <c r="E21" s="30" t="s">
        <v>118</v>
      </c>
      <c r="F21" s="30" t="s">
        <v>205</v>
      </c>
      <c r="G21" s="31"/>
      <c r="H21" s="31"/>
      <c r="I21" s="31"/>
      <c r="J21" s="31"/>
      <c r="K21" s="31"/>
      <c r="L21" s="31"/>
      <c r="M21" s="31"/>
      <c r="N21" s="30">
        <v>6.0</v>
      </c>
      <c r="O21" s="31"/>
      <c r="P21" s="31"/>
      <c r="Q21" s="31"/>
      <c r="R21" s="30">
        <v>1.0</v>
      </c>
      <c r="S21" s="31"/>
      <c r="T21" s="31"/>
      <c r="U21" s="31"/>
      <c r="V21" s="31"/>
      <c r="W21" s="31"/>
      <c r="X21" s="31"/>
      <c r="Y21" s="31"/>
      <c r="Z21" s="31"/>
      <c r="AA21" s="31"/>
      <c r="AB21" s="30" t="b">
        <f t="shared" si="3"/>
        <v>1</v>
      </c>
      <c r="AC21" s="30" t="b">
        <v>0</v>
      </c>
      <c r="AD21" s="31"/>
      <c r="AE21" s="31"/>
      <c r="AF21" s="31"/>
      <c r="AG21" s="31"/>
      <c r="AH21" s="31"/>
      <c r="AI21" s="31"/>
      <c r="AJ21" s="32" t="s">
        <v>206</v>
      </c>
      <c r="AK21" s="31"/>
      <c r="AL21" s="30" t="b">
        <v>1</v>
      </c>
      <c r="AM21" s="31"/>
      <c r="AN21" s="31"/>
      <c r="AO21" s="31"/>
      <c r="AP21" s="31"/>
      <c r="AQ21" s="31"/>
    </row>
    <row r="22" ht="12.75" customHeight="1">
      <c r="A22" s="30" t="s">
        <v>207</v>
      </c>
      <c r="B22" s="30" t="s">
        <v>208</v>
      </c>
      <c r="C22" s="30" t="s">
        <v>209</v>
      </c>
      <c r="D22" s="30" t="s">
        <v>210</v>
      </c>
      <c r="E22" s="30" t="s">
        <v>195</v>
      </c>
      <c r="F22" s="30" t="s">
        <v>211</v>
      </c>
      <c r="G22" s="31"/>
      <c r="H22" s="31"/>
      <c r="I22" s="31"/>
      <c r="J22" s="31"/>
      <c r="K22" s="31"/>
      <c r="L22" s="31"/>
      <c r="M22" s="31"/>
      <c r="N22" s="30">
        <v>1.0</v>
      </c>
      <c r="O22" s="31"/>
      <c r="P22" s="31"/>
      <c r="Q22" s="30">
        <v>1.0</v>
      </c>
      <c r="R22" s="30">
        <v>1.0</v>
      </c>
      <c r="S22" s="31"/>
      <c r="T22" s="31"/>
      <c r="U22" s="31"/>
      <c r="V22" s="31"/>
      <c r="W22" s="31"/>
      <c r="X22" s="31"/>
      <c r="Y22" s="31"/>
      <c r="Z22" s="31"/>
      <c r="AA22" s="31"/>
      <c r="AB22" s="30" t="b">
        <f t="shared" si="3"/>
        <v>1</v>
      </c>
      <c r="AC22" s="30" t="b">
        <v>1</v>
      </c>
      <c r="AD22" s="31"/>
      <c r="AE22" s="31"/>
      <c r="AF22" s="31"/>
      <c r="AG22" s="31"/>
      <c r="AH22" s="31"/>
      <c r="AI22" s="31"/>
      <c r="AJ22" s="32" t="s">
        <v>212</v>
      </c>
      <c r="AK22" s="31"/>
      <c r="AL22" s="30" t="b">
        <v>1</v>
      </c>
      <c r="AM22" s="31"/>
      <c r="AN22" s="31"/>
      <c r="AO22" s="31"/>
      <c r="AP22" s="31"/>
      <c r="AQ22" s="31"/>
    </row>
    <row r="23" ht="12.75" customHeight="1">
      <c r="A23" s="30" t="s">
        <v>213</v>
      </c>
      <c r="B23" s="30" t="s">
        <v>214</v>
      </c>
      <c r="C23" s="30" t="s">
        <v>215</v>
      </c>
      <c r="D23" s="30" t="s">
        <v>216</v>
      </c>
      <c r="E23" s="30" t="s">
        <v>195</v>
      </c>
      <c r="F23" s="30" t="s">
        <v>211</v>
      </c>
      <c r="G23" s="31"/>
      <c r="H23" s="31"/>
      <c r="I23" s="30" t="b">
        <v>1</v>
      </c>
      <c r="J23" s="31"/>
      <c r="K23" s="31"/>
      <c r="L23" s="31"/>
      <c r="M23" s="31"/>
      <c r="N23" s="30">
        <v>1.0</v>
      </c>
      <c r="O23" s="31"/>
      <c r="P23" s="31"/>
      <c r="Q23" s="30">
        <v>2.0</v>
      </c>
      <c r="R23" s="30">
        <v>1.0</v>
      </c>
      <c r="S23" s="31"/>
      <c r="T23" s="31"/>
      <c r="U23" s="31"/>
      <c r="V23" s="31"/>
      <c r="W23" s="31"/>
      <c r="X23" s="31"/>
      <c r="Y23" s="31"/>
      <c r="Z23" s="31"/>
      <c r="AA23" s="31"/>
      <c r="AB23" s="30" t="b">
        <f t="shared" si="3"/>
        <v>1</v>
      </c>
      <c r="AC23" s="30" t="b">
        <v>1</v>
      </c>
      <c r="AD23" s="30" t="b">
        <v>1</v>
      </c>
      <c r="AE23" s="31"/>
      <c r="AF23" s="31"/>
      <c r="AG23" s="31"/>
      <c r="AH23" s="31"/>
      <c r="AI23" s="31"/>
      <c r="AJ23" s="32" t="s">
        <v>217</v>
      </c>
      <c r="AK23" s="31"/>
      <c r="AL23" s="30" t="b">
        <v>1</v>
      </c>
      <c r="AM23" s="31"/>
      <c r="AN23" s="31"/>
      <c r="AO23" s="31"/>
      <c r="AP23" s="31"/>
      <c r="AQ23" s="31"/>
    </row>
    <row r="24" ht="12.75" customHeight="1">
      <c r="A24" s="30" t="s">
        <v>218</v>
      </c>
      <c r="B24" s="30" t="s">
        <v>219</v>
      </c>
      <c r="C24" s="30" t="s">
        <v>220</v>
      </c>
      <c r="D24" s="30" t="s">
        <v>221</v>
      </c>
      <c r="E24" s="30" t="s">
        <v>195</v>
      </c>
      <c r="F24" s="30" t="s">
        <v>211</v>
      </c>
      <c r="G24" s="31"/>
      <c r="H24" s="31"/>
      <c r="I24" s="30" t="b">
        <v>1</v>
      </c>
      <c r="J24" s="31"/>
      <c r="K24" s="31"/>
      <c r="L24" s="31"/>
      <c r="M24" s="31"/>
      <c r="N24" s="30">
        <v>1.0</v>
      </c>
      <c r="O24" s="31"/>
      <c r="P24" s="31"/>
      <c r="Q24" s="31"/>
      <c r="R24" s="30">
        <v>3.0</v>
      </c>
      <c r="S24" s="31"/>
      <c r="T24" s="31"/>
      <c r="U24" s="31"/>
      <c r="V24" s="31"/>
      <c r="W24" s="31"/>
      <c r="X24" s="31"/>
      <c r="Y24" s="31"/>
      <c r="Z24" s="31"/>
      <c r="AA24" s="31"/>
      <c r="AB24" s="30" t="b">
        <f t="shared" si="3"/>
        <v>1</v>
      </c>
      <c r="AC24" s="30" t="b">
        <v>1</v>
      </c>
      <c r="AD24" s="30" t="b">
        <v>1</v>
      </c>
      <c r="AE24" s="31"/>
      <c r="AF24" s="31"/>
      <c r="AG24" s="31"/>
      <c r="AH24" s="31"/>
      <c r="AI24" s="31"/>
      <c r="AJ24" s="32" t="s">
        <v>222</v>
      </c>
      <c r="AK24" s="31"/>
      <c r="AL24" s="30" t="b">
        <v>1</v>
      </c>
      <c r="AM24" s="31"/>
      <c r="AN24" s="31"/>
      <c r="AO24" s="31"/>
      <c r="AP24" s="31"/>
      <c r="AQ24" s="31"/>
    </row>
    <row r="25" ht="12.75" customHeight="1">
      <c r="A25" s="30" t="s">
        <v>223</v>
      </c>
      <c r="B25" s="30" t="s">
        <v>224</v>
      </c>
      <c r="C25" s="31"/>
      <c r="D25" s="30" t="s">
        <v>225</v>
      </c>
      <c r="E25" s="30" t="s">
        <v>195</v>
      </c>
      <c r="F25" s="30" t="s">
        <v>211</v>
      </c>
      <c r="G25" s="31"/>
      <c r="H25" s="31"/>
      <c r="I25" s="31"/>
      <c r="J25" s="31"/>
      <c r="K25" s="31"/>
      <c r="L25" s="31"/>
      <c r="M25" s="31"/>
      <c r="N25" s="30">
        <v>1.0</v>
      </c>
      <c r="O25" s="31"/>
      <c r="P25" s="31"/>
      <c r="Q25" s="31"/>
      <c r="R25" s="30">
        <v>1.0</v>
      </c>
      <c r="S25" s="31"/>
      <c r="T25" s="31"/>
      <c r="U25" s="31"/>
      <c r="V25" s="31"/>
      <c r="W25" s="31"/>
      <c r="X25" s="31"/>
      <c r="Y25" s="31"/>
      <c r="Z25" s="31"/>
      <c r="AA25" s="31"/>
      <c r="AB25" s="30" t="b">
        <f t="shared" si="3"/>
        <v>1</v>
      </c>
      <c r="AC25" s="30" t="b">
        <v>1</v>
      </c>
      <c r="AD25" s="31"/>
      <c r="AE25" s="31"/>
      <c r="AF25" s="31"/>
      <c r="AG25" s="31"/>
      <c r="AH25" s="31"/>
      <c r="AI25" s="31"/>
      <c r="AJ25" s="32" t="s">
        <v>226</v>
      </c>
      <c r="AK25" s="31"/>
      <c r="AL25" s="30" t="b">
        <v>1</v>
      </c>
      <c r="AM25" s="31"/>
      <c r="AN25" s="31"/>
      <c r="AO25" s="31"/>
      <c r="AP25" s="31"/>
      <c r="AQ25" s="31"/>
    </row>
    <row r="26" ht="12.75" customHeight="1">
      <c r="A26" s="30" t="s">
        <v>227</v>
      </c>
      <c r="B26" s="30" t="s">
        <v>228</v>
      </c>
      <c r="C26" s="30" t="s">
        <v>229</v>
      </c>
      <c r="D26" s="30" t="s">
        <v>230</v>
      </c>
      <c r="E26" s="30" t="s">
        <v>195</v>
      </c>
      <c r="F26" s="30" t="s">
        <v>211</v>
      </c>
      <c r="G26" s="31"/>
      <c r="H26" s="31"/>
      <c r="I26" s="31"/>
      <c r="J26" s="31"/>
      <c r="K26" s="31"/>
      <c r="L26" s="31"/>
      <c r="M26" s="31"/>
      <c r="N26" s="30">
        <v>4.0</v>
      </c>
      <c r="O26" s="31"/>
      <c r="P26" s="31"/>
      <c r="Q26" s="31"/>
      <c r="R26" s="31"/>
      <c r="S26" s="31"/>
      <c r="T26" s="31"/>
      <c r="U26" s="31"/>
      <c r="V26" s="31"/>
      <c r="W26" s="30">
        <v>1.0</v>
      </c>
      <c r="X26" s="31"/>
      <c r="Y26" s="31"/>
      <c r="Z26" s="31"/>
      <c r="AA26" s="31"/>
      <c r="AB26" s="30" t="b">
        <f t="shared" si="3"/>
        <v>0</v>
      </c>
      <c r="AC26" s="30" t="b">
        <v>0</v>
      </c>
      <c r="AD26" s="31"/>
      <c r="AE26" s="31"/>
      <c r="AF26" s="31"/>
      <c r="AG26" s="31"/>
      <c r="AH26" s="31"/>
      <c r="AI26" s="31"/>
      <c r="AJ26" s="32" t="s">
        <v>231</v>
      </c>
      <c r="AK26" s="31"/>
      <c r="AL26" s="30" t="b">
        <v>1</v>
      </c>
      <c r="AM26" s="31"/>
      <c r="AN26" s="31"/>
      <c r="AO26" s="31"/>
      <c r="AP26" s="31"/>
      <c r="AQ26" s="31"/>
    </row>
    <row r="27" ht="12.75" customHeight="1">
      <c r="A27" s="30" t="s">
        <v>232</v>
      </c>
      <c r="B27" s="30" t="s">
        <v>233</v>
      </c>
      <c r="C27" s="31"/>
      <c r="D27" s="31"/>
      <c r="E27" s="30" t="s">
        <v>118</v>
      </c>
      <c r="F27" s="30" t="s">
        <v>234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0" t="b">
        <f t="shared" si="3"/>
        <v>0</v>
      </c>
      <c r="AC27" s="31" t="b">
        <v>0</v>
      </c>
      <c r="AD27" s="31"/>
      <c r="AE27" s="31"/>
      <c r="AF27" s="31"/>
      <c r="AG27" s="31"/>
      <c r="AH27" s="31"/>
      <c r="AI27" s="31"/>
      <c r="AJ27" s="32" t="s">
        <v>235</v>
      </c>
      <c r="AK27" s="31"/>
      <c r="AL27" s="30" t="b">
        <v>1</v>
      </c>
      <c r="AM27" s="31"/>
      <c r="AN27" s="31"/>
      <c r="AO27" s="31"/>
      <c r="AP27" s="31"/>
      <c r="AQ27" s="31"/>
    </row>
    <row r="28" ht="12.75" customHeight="1">
      <c r="A28" s="30" t="s">
        <v>236</v>
      </c>
      <c r="B28" s="30" t="s">
        <v>237</v>
      </c>
      <c r="C28" s="31"/>
      <c r="D28" s="31"/>
      <c r="E28" s="30" t="s">
        <v>118</v>
      </c>
      <c r="F28" s="31"/>
      <c r="G28" s="31"/>
      <c r="H28" s="31"/>
      <c r="I28" s="31"/>
      <c r="J28" s="31" t="b">
        <v>1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0" t="b">
        <f t="shared" si="3"/>
        <v>0</v>
      </c>
      <c r="AC28" s="31" t="b">
        <v>0</v>
      </c>
      <c r="AD28" s="31"/>
      <c r="AE28" s="31"/>
      <c r="AF28" s="31"/>
      <c r="AG28" s="31"/>
      <c r="AH28" s="31"/>
      <c r="AI28" s="31"/>
      <c r="AJ28" s="32" t="s">
        <v>238</v>
      </c>
      <c r="AK28" s="31"/>
      <c r="AL28" s="30" t="b">
        <v>1</v>
      </c>
      <c r="AM28" s="31"/>
      <c r="AN28" s="31"/>
      <c r="AO28" s="31"/>
      <c r="AP28" s="31"/>
      <c r="AQ28" s="31"/>
    </row>
    <row r="29" ht="12.75" customHeight="1">
      <c r="A29" s="30" t="s">
        <v>239</v>
      </c>
      <c r="B29" s="30" t="s">
        <v>240</v>
      </c>
      <c r="C29" s="31"/>
      <c r="D29" s="31"/>
      <c r="E29" s="30" t="s">
        <v>118</v>
      </c>
      <c r="F29" s="30" t="s">
        <v>234</v>
      </c>
      <c r="G29" s="31"/>
      <c r="H29" s="31"/>
      <c r="I29" s="31"/>
      <c r="J29" s="31" t="b">
        <v>1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0" t="b">
        <f t="shared" si="3"/>
        <v>0</v>
      </c>
      <c r="AC29" s="31" t="b">
        <v>0</v>
      </c>
      <c r="AD29" s="31"/>
      <c r="AE29" s="31"/>
      <c r="AF29" s="31"/>
      <c r="AG29" s="31"/>
      <c r="AH29" s="31"/>
      <c r="AI29" s="31"/>
      <c r="AJ29" s="32" t="s">
        <v>241</v>
      </c>
      <c r="AK29" s="31"/>
      <c r="AL29" s="30" t="b">
        <v>1</v>
      </c>
      <c r="AM29" s="31"/>
      <c r="AN29" s="31"/>
      <c r="AO29" s="31"/>
      <c r="AP29" s="31"/>
      <c r="AQ29" s="31"/>
    </row>
    <row r="30" ht="12.75" customHeight="1">
      <c r="A30" s="30" t="s">
        <v>242</v>
      </c>
      <c r="B30" s="30" t="s">
        <v>243</v>
      </c>
      <c r="C30" s="31"/>
      <c r="D30" s="30" t="s">
        <v>244</v>
      </c>
      <c r="E30" s="30" t="s">
        <v>137</v>
      </c>
      <c r="F30" s="30" t="s">
        <v>138</v>
      </c>
      <c r="G30" s="30" t="s">
        <v>245</v>
      </c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0" t="s">
        <v>140</v>
      </c>
      <c r="AC30" s="30" t="s">
        <v>140</v>
      </c>
      <c r="AD30" s="30" t="b">
        <v>1</v>
      </c>
      <c r="AE30" s="31"/>
      <c r="AF30" s="31"/>
      <c r="AG30" s="31"/>
      <c r="AH30" s="31"/>
      <c r="AI30" s="31"/>
      <c r="AJ30" s="33" t="s">
        <v>246</v>
      </c>
      <c r="AK30" s="31"/>
      <c r="AL30" s="30" t="b">
        <v>1</v>
      </c>
      <c r="AM30" s="31"/>
      <c r="AN30" s="31"/>
      <c r="AO30" s="31"/>
      <c r="AP30" s="31"/>
      <c r="AQ30" s="31"/>
    </row>
    <row r="31" ht="12.75" customHeight="1">
      <c r="A31" s="30" t="s">
        <v>247</v>
      </c>
      <c r="B31" s="30" t="s">
        <v>248</v>
      </c>
      <c r="C31" s="31"/>
      <c r="D31" s="30" t="s">
        <v>249</v>
      </c>
      <c r="E31" s="30" t="s">
        <v>195</v>
      </c>
      <c r="F31" s="30" t="s">
        <v>211</v>
      </c>
      <c r="G31" s="31"/>
      <c r="H31" s="31"/>
      <c r="I31" s="31"/>
      <c r="J31" s="31"/>
      <c r="K31" s="31"/>
      <c r="L31" s="31"/>
      <c r="M31" s="31"/>
      <c r="N31" s="30">
        <v>1.0</v>
      </c>
      <c r="O31" s="31"/>
      <c r="P31" s="31"/>
      <c r="Q31" s="30">
        <v>4.0</v>
      </c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0" t="b">
        <f t="shared" ref="AB31:AB41" si="4">OR(P31&gt;0,Q31&gt;0,R31&gt;0)</f>
        <v>1</v>
      </c>
      <c r="AC31" s="30" t="b">
        <v>1</v>
      </c>
      <c r="AD31" s="30" t="b">
        <v>1</v>
      </c>
      <c r="AE31" s="31"/>
      <c r="AF31" s="31"/>
      <c r="AG31" s="31"/>
      <c r="AH31" s="31"/>
      <c r="AI31" s="31"/>
      <c r="AJ31" s="32" t="s">
        <v>250</v>
      </c>
      <c r="AK31" s="31"/>
      <c r="AL31" s="30" t="b">
        <v>1</v>
      </c>
      <c r="AM31" s="31"/>
      <c r="AN31" s="31"/>
      <c r="AO31" s="31"/>
      <c r="AP31" s="31"/>
      <c r="AQ31" s="31"/>
    </row>
    <row r="32" ht="12.75" customHeight="1">
      <c r="A32" s="30" t="s">
        <v>251</v>
      </c>
      <c r="B32" s="30" t="s">
        <v>252</v>
      </c>
      <c r="C32" s="30" t="s">
        <v>253</v>
      </c>
      <c r="D32" s="30" t="s">
        <v>254</v>
      </c>
      <c r="E32" s="30" t="s">
        <v>195</v>
      </c>
      <c r="F32" s="31"/>
      <c r="G32" s="31"/>
      <c r="H32" s="31"/>
      <c r="I32" s="31"/>
      <c r="J32" s="31"/>
      <c r="K32" s="31"/>
      <c r="L32" s="30" t="b">
        <v>1</v>
      </c>
      <c r="M32" s="31"/>
      <c r="N32" s="30">
        <v>10.0</v>
      </c>
      <c r="O32" s="31"/>
      <c r="P32" s="31"/>
      <c r="Q32" s="30">
        <v>8.0</v>
      </c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0" t="b">
        <f t="shared" si="4"/>
        <v>1</v>
      </c>
      <c r="AC32" s="30" t="b">
        <v>0</v>
      </c>
      <c r="AD32" s="31"/>
      <c r="AE32" s="31"/>
      <c r="AF32" s="31"/>
      <c r="AG32" s="31"/>
      <c r="AH32" s="31"/>
      <c r="AI32" s="30" t="s">
        <v>255</v>
      </c>
      <c r="AJ32" s="32" t="s">
        <v>256</v>
      </c>
      <c r="AK32" s="30" t="s">
        <v>257</v>
      </c>
      <c r="AL32" s="30" t="b">
        <v>1</v>
      </c>
      <c r="AM32" s="31"/>
      <c r="AN32" s="31"/>
      <c r="AO32" s="31"/>
      <c r="AP32" s="31"/>
      <c r="AQ32" s="31"/>
    </row>
    <row r="33" ht="12.75" customHeight="1">
      <c r="A33" s="30" t="s">
        <v>258</v>
      </c>
      <c r="B33" s="30" t="s">
        <v>259</v>
      </c>
      <c r="C33" s="31"/>
      <c r="D33" s="31"/>
      <c r="E33" s="30" t="s">
        <v>195</v>
      </c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0" t="b">
        <f t="shared" si="4"/>
        <v>0</v>
      </c>
      <c r="AC33" s="30" t="b">
        <v>0</v>
      </c>
      <c r="AD33" s="31"/>
      <c r="AE33" s="31"/>
      <c r="AF33" s="31"/>
      <c r="AG33" s="31"/>
      <c r="AH33" s="31"/>
      <c r="AI33" s="30" t="s">
        <v>255</v>
      </c>
      <c r="AJ33" s="32" t="s">
        <v>256</v>
      </c>
      <c r="AK33" s="30" t="s">
        <v>257</v>
      </c>
      <c r="AL33" s="30" t="b">
        <v>1</v>
      </c>
      <c r="AM33" s="31"/>
      <c r="AN33" s="31"/>
      <c r="AO33" s="31"/>
      <c r="AP33" s="31"/>
      <c r="AQ33" s="31"/>
    </row>
    <row r="34" ht="12.75" customHeight="1">
      <c r="A34" s="30" t="s">
        <v>260</v>
      </c>
      <c r="B34" s="30" t="s">
        <v>261</v>
      </c>
      <c r="C34" s="31"/>
      <c r="D34" s="30" t="s">
        <v>262</v>
      </c>
      <c r="E34" s="30" t="s">
        <v>118</v>
      </c>
      <c r="F34" s="30" t="s">
        <v>205</v>
      </c>
      <c r="G34" s="31"/>
      <c r="H34" s="31"/>
      <c r="I34" s="31"/>
      <c r="J34" s="31"/>
      <c r="K34" s="31"/>
      <c r="L34" s="31"/>
      <c r="M34" s="31"/>
      <c r="N34" s="30">
        <v>6.0</v>
      </c>
      <c r="O34" s="31"/>
      <c r="P34" s="31"/>
      <c r="Q34" s="30">
        <v>1.0</v>
      </c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0" t="b">
        <f t="shared" si="4"/>
        <v>1</v>
      </c>
      <c r="AC34" s="30" t="b">
        <v>0</v>
      </c>
      <c r="AD34" s="31"/>
      <c r="AE34" s="31"/>
      <c r="AF34" s="31"/>
      <c r="AG34" s="31"/>
      <c r="AH34" s="31"/>
      <c r="AI34" s="31"/>
      <c r="AJ34" s="32" t="s">
        <v>263</v>
      </c>
      <c r="AK34" s="31"/>
      <c r="AL34" s="30" t="b">
        <v>1</v>
      </c>
      <c r="AM34" s="31"/>
      <c r="AN34" s="31"/>
      <c r="AO34" s="31"/>
      <c r="AP34" s="31"/>
      <c r="AQ34" s="31"/>
    </row>
    <row r="35" ht="12.75" customHeight="1">
      <c r="A35" s="30" t="s">
        <v>264</v>
      </c>
      <c r="B35" s="30" t="s">
        <v>265</v>
      </c>
      <c r="C35" s="30" t="s">
        <v>266</v>
      </c>
      <c r="D35" s="30" t="s">
        <v>267</v>
      </c>
      <c r="E35" s="30" t="s">
        <v>195</v>
      </c>
      <c r="F35" s="30" t="s">
        <v>211</v>
      </c>
      <c r="G35" s="31"/>
      <c r="H35" s="31"/>
      <c r="I35" s="31"/>
      <c r="J35" s="31"/>
      <c r="K35" s="31"/>
      <c r="L35" s="31"/>
      <c r="M35" s="31"/>
      <c r="N35" s="30">
        <v>1.0</v>
      </c>
      <c r="O35" s="31"/>
      <c r="P35" s="31"/>
      <c r="Q35" s="30">
        <v>1.0</v>
      </c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0" t="b">
        <f t="shared" si="4"/>
        <v>1</v>
      </c>
      <c r="AC35" s="30" t="b">
        <v>1</v>
      </c>
      <c r="AD35" s="31"/>
      <c r="AE35" s="31"/>
      <c r="AF35" s="31"/>
      <c r="AG35" s="31"/>
      <c r="AH35" s="31"/>
      <c r="AI35" s="31"/>
      <c r="AJ35" s="32" t="s">
        <v>268</v>
      </c>
      <c r="AK35" s="31"/>
      <c r="AL35" s="30" t="b">
        <v>1</v>
      </c>
      <c r="AM35" s="31"/>
      <c r="AN35" s="31"/>
      <c r="AO35" s="31"/>
      <c r="AP35" s="31"/>
      <c r="AQ35" s="31"/>
    </row>
    <row r="36" ht="12.75" customHeight="1">
      <c r="A36" s="30" t="s">
        <v>269</v>
      </c>
      <c r="B36" s="30" t="s">
        <v>270</v>
      </c>
      <c r="C36" s="31"/>
      <c r="D36" s="31"/>
      <c r="E36" s="30" t="s">
        <v>195</v>
      </c>
      <c r="F36" s="30" t="s">
        <v>271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0" t="b">
        <f t="shared" si="4"/>
        <v>0</v>
      </c>
      <c r="AC36" s="31" t="b">
        <v>0</v>
      </c>
      <c r="AD36" s="30" t="b">
        <v>1</v>
      </c>
      <c r="AE36" s="31"/>
      <c r="AF36" s="31"/>
      <c r="AG36" s="31"/>
      <c r="AH36" s="31"/>
      <c r="AI36" s="31"/>
      <c r="AJ36" s="32" t="s">
        <v>272</v>
      </c>
      <c r="AK36" s="31"/>
      <c r="AL36" s="30" t="b">
        <v>1</v>
      </c>
      <c r="AM36" s="31"/>
      <c r="AN36" s="31"/>
      <c r="AO36" s="31"/>
      <c r="AP36" s="31"/>
      <c r="AQ36" s="31"/>
    </row>
    <row r="37" ht="12.75" customHeight="1">
      <c r="A37" s="30" t="s">
        <v>273</v>
      </c>
      <c r="B37" s="30" t="s">
        <v>274</v>
      </c>
      <c r="C37" s="30" t="s">
        <v>275</v>
      </c>
      <c r="D37" s="30" t="s">
        <v>276</v>
      </c>
      <c r="E37" s="30" t="s">
        <v>195</v>
      </c>
      <c r="F37" s="30" t="s">
        <v>211</v>
      </c>
      <c r="G37" s="31"/>
      <c r="H37" s="31"/>
      <c r="I37" s="30" t="b">
        <v>1</v>
      </c>
      <c r="J37" s="31"/>
      <c r="K37" s="31"/>
      <c r="L37" s="31"/>
      <c r="M37" s="31"/>
      <c r="N37" s="30">
        <v>1.0</v>
      </c>
      <c r="O37" s="31"/>
      <c r="P37" s="31"/>
      <c r="Q37" s="30">
        <v>3.0</v>
      </c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0" t="b">
        <f t="shared" si="4"/>
        <v>1</v>
      </c>
      <c r="AC37" s="30" t="b">
        <v>1</v>
      </c>
      <c r="AD37" s="30" t="b">
        <v>1</v>
      </c>
      <c r="AE37" s="31"/>
      <c r="AF37" s="31"/>
      <c r="AG37" s="31"/>
      <c r="AH37" s="31"/>
      <c r="AI37" s="31"/>
      <c r="AJ37" s="32" t="s">
        <v>277</v>
      </c>
      <c r="AK37" s="31"/>
      <c r="AL37" s="30" t="b">
        <v>1</v>
      </c>
      <c r="AM37" s="31"/>
      <c r="AN37" s="31"/>
      <c r="AO37" s="31"/>
      <c r="AP37" s="31"/>
      <c r="AQ37" s="31"/>
    </row>
    <row r="38" ht="12.75" customHeight="1">
      <c r="A38" s="30" t="s">
        <v>278</v>
      </c>
      <c r="B38" s="30" t="s">
        <v>279</v>
      </c>
      <c r="C38" s="30" t="s">
        <v>280</v>
      </c>
      <c r="D38" s="30" t="s">
        <v>281</v>
      </c>
      <c r="E38" s="30" t="s">
        <v>195</v>
      </c>
      <c r="F38" s="30" t="s">
        <v>211</v>
      </c>
      <c r="G38" s="31"/>
      <c r="H38" s="31"/>
      <c r="I38" s="31"/>
      <c r="J38" s="31"/>
      <c r="K38" s="31"/>
      <c r="L38" s="31"/>
      <c r="M38" s="31"/>
      <c r="N38" s="30">
        <v>1.0</v>
      </c>
      <c r="O38" s="31"/>
      <c r="P38" s="31"/>
      <c r="Q38" s="30">
        <v>1.0</v>
      </c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0" t="b">
        <f t="shared" si="4"/>
        <v>1</v>
      </c>
      <c r="AC38" s="30" t="b">
        <v>1</v>
      </c>
      <c r="AD38" s="31"/>
      <c r="AE38" s="31"/>
      <c r="AF38" s="31"/>
      <c r="AG38" s="31"/>
      <c r="AH38" s="31"/>
      <c r="AI38" s="31"/>
      <c r="AJ38" s="32" t="s">
        <v>282</v>
      </c>
      <c r="AK38" s="31"/>
      <c r="AL38" s="30" t="b">
        <v>1</v>
      </c>
      <c r="AM38" s="31"/>
      <c r="AN38" s="31"/>
      <c r="AO38" s="31"/>
      <c r="AP38" s="31"/>
      <c r="AQ38" s="31"/>
    </row>
    <row r="39" ht="12.75" customHeight="1">
      <c r="A39" s="30" t="s">
        <v>283</v>
      </c>
      <c r="B39" s="30" t="s">
        <v>284</v>
      </c>
      <c r="C39" s="30" t="s">
        <v>285</v>
      </c>
      <c r="D39" s="30" t="s">
        <v>286</v>
      </c>
      <c r="E39" s="30" t="s">
        <v>118</v>
      </c>
      <c r="F39" s="30" t="s">
        <v>234</v>
      </c>
      <c r="G39" s="31"/>
      <c r="H39" s="31"/>
      <c r="I39" s="31"/>
      <c r="J39" s="31"/>
      <c r="K39" s="31"/>
      <c r="L39" s="31"/>
      <c r="M39" s="31"/>
      <c r="N39" s="30">
        <v>7.0</v>
      </c>
      <c r="O39" s="31"/>
      <c r="P39" s="31"/>
      <c r="Q39" s="30">
        <v>1.0</v>
      </c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0" t="b">
        <f t="shared" si="4"/>
        <v>1</v>
      </c>
      <c r="AC39" s="30" t="b">
        <v>0</v>
      </c>
      <c r="AD39" s="31"/>
      <c r="AE39" s="31"/>
      <c r="AF39" s="31"/>
      <c r="AG39" s="31"/>
      <c r="AH39" s="31"/>
      <c r="AI39" s="31"/>
      <c r="AJ39" s="32" t="s">
        <v>287</v>
      </c>
      <c r="AK39" s="31"/>
      <c r="AL39" s="30" t="b">
        <v>1</v>
      </c>
      <c r="AM39" s="31"/>
      <c r="AN39" s="31"/>
      <c r="AO39" s="31"/>
      <c r="AP39" s="31"/>
      <c r="AQ39" s="31"/>
    </row>
    <row r="40" ht="12.75" customHeight="1">
      <c r="A40" s="30" t="s">
        <v>288</v>
      </c>
      <c r="B40" s="30" t="s">
        <v>289</v>
      </c>
      <c r="C40" s="30" t="s">
        <v>290</v>
      </c>
      <c r="D40" s="30" t="s">
        <v>291</v>
      </c>
      <c r="E40" s="30" t="s">
        <v>118</v>
      </c>
      <c r="F40" s="30" t="s">
        <v>234</v>
      </c>
      <c r="G40" s="31"/>
      <c r="H40" s="31"/>
      <c r="I40" s="31"/>
      <c r="J40" s="31"/>
      <c r="K40" s="31"/>
      <c r="L40" s="31"/>
      <c r="M40" s="31"/>
      <c r="N40" s="30">
        <v>7.0</v>
      </c>
      <c r="O40" s="31"/>
      <c r="P40" s="31"/>
      <c r="Q40" s="30">
        <v>1.0</v>
      </c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0" t="b">
        <f t="shared" si="4"/>
        <v>1</v>
      </c>
      <c r="AC40" s="30" t="b">
        <v>0</v>
      </c>
      <c r="AD40" s="31"/>
      <c r="AE40" s="31"/>
      <c r="AF40" s="31"/>
      <c r="AG40" s="31"/>
      <c r="AH40" s="31"/>
      <c r="AI40" s="31"/>
      <c r="AJ40" s="32" t="s">
        <v>292</v>
      </c>
      <c r="AK40" s="31"/>
      <c r="AL40" s="30" t="b">
        <v>1</v>
      </c>
      <c r="AM40" s="31"/>
      <c r="AN40" s="31"/>
      <c r="AO40" s="31"/>
      <c r="AP40" s="31"/>
      <c r="AQ40" s="31"/>
    </row>
    <row r="41" ht="12.75" customHeight="1">
      <c r="A41" s="30" t="s">
        <v>293</v>
      </c>
      <c r="B41" s="30" t="s">
        <v>294</v>
      </c>
      <c r="C41" s="31"/>
      <c r="D41" s="30" t="s">
        <v>295</v>
      </c>
      <c r="E41" s="30" t="s">
        <v>118</v>
      </c>
      <c r="F41" s="30" t="s">
        <v>78</v>
      </c>
      <c r="G41" s="31"/>
      <c r="H41" s="31"/>
      <c r="I41" s="31"/>
      <c r="J41" s="31"/>
      <c r="K41" s="30" t="b">
        <v>1</v>
      </c>
      <c r="L41" s="31"/>
      <c r="M41" s="31"/>
      <c r="N41" s="30">
        <v>18.0</v>
      </c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0" t="b">
        <f t="shared" si="4"/>
        <v>0</v>
      </c>
      <c r="AC41" s="30" t="b">
        <v>0</v>
      </c>
      <c r="AD41" s="31"/>
      <c r="AE41" s="31"/>
      <c r="AF41" s="31"/>
      <c r="AG41" s="31"/>
      <c r="AH41" s="31"/>
      <c r="AI41" s="31"/>
      <c r="AJ41" s="30" t="s">
        <v>296</v>
      </c>
      <c r="AK41" s="31"/>
      <c r="AL41" s="30" t="b">
        <v>1</v>
      </c>
      <c r="AM41" s="31"/>
      <c r="AN41" s="31"/>
      <c r="AO41" s="31"/>
      <c r="AP41" s="31"/>
      <c r="AQ41" s="31"/>
    </row>
    <row r="42" ht="12.75" customHeight="1">
      <c r="A42" s="30" t="s">
        <v>297</v>
      </c>
      <c r="B42" s="30" t="s">
        <v>298</v>
      </c>
      <c r="C42" s="31"/>
      <c r="D42" s="30" t="s">
        <v>299</v>
      </c>
      <c r="E42" s="30" t="s">
        <v>137</v>
      </c>
      <c r="F42" s="30" t="s">
        <v>138</v>
      </c>
      <c r="G42" s="30" t="s">
        <v>300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0" t="s">
        <v>140</v>
      </c>
      <c r="AC42" s="30" t="s">
        <v>140</v>
      </c>
      <c r="AD42" s="30" t="b">
        <v>1</v>
      </c>
      <c r="AE42" s="31"/>
      <c r="AF42" s="31"/>
      <c r="AG42" s="31"/>
      <c r="AH42" s="31"/>
      <c r="AI42" s="31"/>
      <c r="AJ42" s="30" t="s">
        <v>301</v>
      </c>
      <c r="AK42" s="31"/>
      <c r="AL42" s="30" t="b">
        <v>1</v>
      </c>
      <c r="AM42" s="31"/>
      <c r="AN42" s="31"/>
      <c r="AO42" s="31"/>
      <c r="AP42" s="31"/>
      <c r="AQ42" s="31"/>
    </row>
    <row r="43" ht="12.75" customHeight="1">
      <c r="A43" s="30" t="s">
        <v>302</v>
      </c>
      <c r="B43" s="30" t="s">
        <v>303</v>
      </c>
      <c r="C43" s="30" t="s">
        <v>304</v>
      </c>
      <c r="D43" s="30" t="s">
        <v>305</v>
      </c>
      <c r="E43" s="30" t="s">
        <v>195</v>
      </c>
      <c r="F43" s="30" t="s">
        <v>211</v>
      </c>
      <c r="G43" s="31"/>
      <c r="H43" s="31"/>
      <c r="I43" s="31"/>
      <c r="J43" s="31"/>
      <c r="K43" s="31"/>
      <c r="L43" s="30" t="b">
        <v>1</v>
      </c>
      <c r="M43" s="31"/>
      <c r="N43" s="30">
        <v>3.0</v>
      </c>
      <c r="O43" s="31"/>
      <c r="P43" s="31"/>
      <c r="Q43" s="30">
        <v>1.0</v>
      </c>
      <c r="R43" s="30">
        <v>2.0</v>
      </c>
      <c r="S43" s="31"/>
      <c r="T43" s="31"/>
      <c r="U43" s="31"/>
      <c r="V43" s="31"/>
      <c r="W43" s="31"/>
      <c r="X43" s="31"/>
      <c r="Y43" s="31"/>
      <c r="Z43" s="31"/>
      <c r="AA43" s="31"/>
      <c r="AB43" s="30" t="b">
        <f t="shared" ref="AB43:AB77" si="5">OR(P43&gt;0,Q43&gt;0,R43&gt;0)</f>
        <v>1</v>
      </c>
      <c r="AC43" s="30" t="b">
        <v>1</v>
      </c>
      <c r="AD43" s="30" t="b">
        <v>1</v>
      </c>
      <c r="AE43" s="31"/>
      <c r="AF43" s="31"/>
      <c r="AG43" s="31"/>
      <c r="AH43" s="31"/>
      <c r="AI43" s="31"/>
      <c r="AJ43" s="30" t="s">
        <v>306</v>
      </c>
      <c r="AK43" s="31"/>
      <c r="AL43" s="30" t="b">
        <v>1</v>
      </c>
      <c r="AM43" s="31"/>
      <c r="AN43" s="31"/>
      <c r="AO43" s="31"/>
      <c r="AP43" s="31"/>
      <c r="AQ43" s="31"/>
    </row>
    <row r="44" ht="12.75" customHeight="1">
      <c r="A44" s="30" t="s">
        <v>307</v>
      </c>
      <c r="B44" s="30" t="s">
        <v>308</v>
      </c>
      <c r="C44" s="31"/>
      <c r="D44" s="30" t="s">
        <v>309</v>
      </c>
      <c r="E44" s="30" t="s">
        <v>195</v>
      </c>
      <c r="F44" s="30" t="s">
        <v>211</v>
      </c>
      <c r="G44" s="31"/>
      <c r="H44" s="31"/>
      <c r="I44" s="30" t="b">
        <v>1</v>
      </c>
      <c r="J44" s="31"/>
      <c r="K44" s="31"/>
      <c r="L44" s="31"/>
      <c r="M44" s="31"/>
      <c r="N44" s="30">
        <v>1.0</v>
      </c>
      <c r="O44" s="31"/>
      <c r="P44" s="31"/>
      <c r="Q44" s="30">
        <v>1.0</v>
      </c>
      <c r="R44" s="30">
        <v>2.0</v>
      </c>
      <c r="S44" s="31"/>
      <c r="T44" s="31"/>
      <c r="U44" s="31"/>
      <c r="V44" s="31"/>
      <c r="W44" s="31"/>
      <c r="X44" s="31"/>
      <c r="Y44" s="31"/>
      <c r="Z44" s="31"/>
      <c r="AA44" s="31"/>
      <c r="AB44" s="30" t="b">
        <f t="shared" si="5"/>
        <v>1</v>
      </c>
      <c r="AC44" s="30" t="b">
        <v>1</v>
      </c>
      <c r="AD44" s="30" t="b">
        <v>1</v>
      </c>
      <c r="AE44" s="31"/>
      <c r="AF44" s="31"/>
      <c r="AG44" s="31"/>
      <c r="AH44" s="31"/>
      <c r="AI44" s="31"/>
      <c r="AJ44" s="30" t="s">
        <v>310</v>
      </c>
      <c r="AK44" s="31"/>
      <c r="AL44" s="30" t="b">
        <v>1</v>
      </c>
      <c r="AM44" s="31"/>
      <c r="AN44" s="31"/>
      <c r="AO44" s="31"/>
      <c r="AP44" s="31"/>
      <c r="AQ44" s="31"/>
    </row>
    <row r="45" ht="12.75" customHeight="1">
      <c r="A45" s="30" t="s">
        <v>311</v>
      </c>
      <c r="B45" s="30" t="s">
        <v>312</v>
      </c>
      <c r="C45" s="30" t="s">
        <v>313</v>
      </c>
      <c r="D45" s="30" t="s">
        <v>314</v>
      </c>
      <c r="E45" s="30" t="s">
        <v>195</v>
      </c>
      <c r="F45" s="30" t="s">
        <v>211</v>
      </c>
      <c r="G45" s="31"/>
      <c r="H45" s="31"/>
      <c r="I45" s="31"/>
      <c r="J45" s="31"/>
      <c r="K45" s="31"/>
      <c r="L45" s="31"/>
      <c r="M45" s="31"/>
      <c r="N45" s="30">
        <v>2.0</v>
      </c>
      <c r="O45" s="31"/>
      <c r="P45" s="31"/>
      <c r="Q45" s="31"/>
      <c r="R45" s="30">
        <v>2.0</v>
      </c>
      <c r="S45" s="31"/>
      <c r="T45" s="31"/>
      <c r="U45" s="31"/>
      <c r="V45" s="31"/>
      <c r="W45" s="31"/>
      <c r="X45" s="31"/>
      <c r="Y45" s="31"/>
      <c r="Z45" s="31"/>
      <c r="AA45" s="31"/>
      <c r="AB45" s="30" t="b">
        <f t="shared" si="5"/>
        <v>1</v>
      </c>
      <c r="AC45" s="30" t="b">
        <v>1</v>
      </c>
      <c r="AD45" s="30" t="b">
        <v>1</v>
      </c>
      <c r="AE45" s="31"/>
      <c r="AF45" s="31"/>
      <c r="AG45" s="31"/>
      <c r="AH45" s="31"/>
      <c r="AI45" s="31"/>
      <c r="AJ45" s="30" t="s">
        <v>315</v>
      </c>
      <c r="AK45" s="31"/>
      <c r="AL45" s="30" t="b">
        <v>1</v>
      </c>
      <c r="AM45" s="31"/>
      <c r="AN45" s="31"/>
      <c r="AO45" s="31"/>
      <c r="AP45" s="31"/>
      <c r="AQ45" s="31"/>
    </row>
    <row r="46" ht="12.75" customHeight="1">
      <c r="A46" s="30" t="s">
        <v>316</v>
      </c>
      <c r="B46" s="30" t="s">
        <v>317</v>
      </c>
      <c r="C46" s="30" t="s">
        <v>318</v>
      </c>
      <c r="D46" s="30" t="s">
        <v>319</v>
      </c>
      <c r="E46" s="30" t="s">
        <v>195</v>
      </c>
      <c r="F46" s="30" t="s">
        <v>211</v>
      </c>
      <c r="G46" s="31"/>
      <c r="H46" s="31"/>
      <c r="I46" s="31"/>
      <c r="J46" s="31"/>
      <c r="K46" s="31"/>
      <c r="L46" s="31"/>
      <c r="M46" s="31"/>
      <c r="N46" s="30">
        <v>1.0</v>
      </c>
      <c r="O46" s="31"/>
      <c r="P46" s="31"/>
      <c r="Q46" s="31"/>
      <c r="R46" s="30">
        <v>2.0</v>
      </c>
      <c r="S46" s="31"/>
      <c r="T46" s="31"/>
      <c r="U46" s="31"/>
      <c r="V46" s="31"/>
      <c r="W46" s="31"/>
      <c r="X46" s="31"/>
      <c r="Y46" s="31"/>
      <c r="Z46" s="31"/>
      <c r="AA46" s="31"/>
      <c r="AB46" s="30" t="b">
        <f t="shared" si="5"/>
        <v>1</v>
      </c>
      <c r="AC46" s="30" t="b">
        <v>1</v>
      </c>
      <c r="AD46" s="31"/>
      <c r="AE46" s="31"/>
      <c r="AF46" s="31"/>
      <c r="AG46" s="31"/>
      <c r="AH46" s="31"/>
      <c r="AI46" s="31"/>
      <c r="AJ46" s="30" t="s">
        <v>320</v>
      </c>
      <c r="AK46" s="31"/>
      <c r="AL46" s="30" t="b">
        <v>1</v>
      </c>
      <c r="AM46" s="31"/>
      <c r="AN46" s="31"/>
      <c r="AO46" s="31"/>
      <c r="AP46" s="31"/>
      <c r="AQ46" s="31"/>
    </row>
    <row r="47" ht="12.75" customHeight="1">
      <c r="A47" s="30" t="s">
        <v>321</v>
      </c>
      <c r="B47" s="30" t="s">
        <v>322</v>
      </c>
      <c r="C47" s="31"/>
      <c r="D47" s="31"/>
      <c r="E47" s="30" t="s">
        <v>118</v>
      </c>
      <c r="F47" s="30" t="s">
        <v>205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0" t="b">
        <f t="shared" si="5"/>
        <v>0</v>
      </c>
      <c r="AC47" s="31" t="b">
        <v>0</v>
      </c>
      <c r="AD47" s="30" t="b">
        <v>1</v>
      </c>
      <c r="AE47" s="31"/>
      <c r="AF47" s="31"/>
      <c r="AG47" s="31"/>
      <c r="AH47" s="31"/>
      <c r="AI47" s="31"/>
      <c r="AJ47" s="32" t="s">
        <v>323</v>
      </c>
      <c r="AK47" s="31"/>
      <c r="AL47" s="30" t="b">
        <v>1</v>
      </c>
      <c r="AM47" s="31"/>
      <c r="AN47" s="31"/>
      <c r="AO47" s="31"/>
      <c r="AP47" s="31"/>
      <c r="AQ47" s="31"/>
    </row>
    <row r="48" ht="12.75" customHeight="1">
      <c r="A48" s="30" t="s">
        <v>324</v>
      </c>
      <c r="B48" s="30" t="s">
        <v>325</v>
      </c>
      <c r="C48" s="31"/>
      <c r="D48" s="31"/>
      <c r="E48" s="30" t="s">
        <v>118</v>
      </c>
      <c r="F48" s="30" t="s">
        <v>205</v>
      </c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0" t="b">
        <f t="shared" si="5"/>
        <v>0</v>
      </c>
      <c r="AC48" s="31" t="b">
        <v>0</v>
      </c>
      <c r="AD48" s="31"/>
      <c r="AE48" s="31"/>
      <c r="AF48" s="31"/>
      <c r="AG48" s="31"/>
      <c r="AH48" s="31"/>
      <c r="AI48" s="31"/>
      <c r="AJ48" s="32" t="s">
        <v>326</v>
      </c>
      <c r="AK48" s="31"/>
      <c r="AL48" s="30" t="b">
        <v>1</v>
      </c>
      <c r="AM48" s="31"/>
      <c r="AN48" s="31"/>
      <c r="AO48" s="31"/>
      <c r="AP48" s="31"/>
      <c r="AQ48" s="31"/>
    </row>
    <row r="49" ht="12.75" customHeight="1">
      <c r="A49" s="30" t="s">
        <v>327</v>
      </c>
      <c r="B49" s="30" t="s">
        <v>328</v>
      </c>
      <c r="C49" s="31"/>
      <c r="D49" s="31"/>
      <c r="E49" s="30" t="s">
        <v>118</v>
      </c>
      <c r="F49" s="30" t="s">
        <v>205</v>
      </c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0" t="b">
        <f t="shared" si="5"/>
        <v>0</v>
      </c>
      <c r="AC49" s="31" t="b">
        <v>0</v>
      </c>
      <c r="AD49" s="30" t="b">
        <v>1</v>
      </c>
      <c r="AE49" s="31"/>
      <c r="AF49" s="31"/>
      <c r="AG49" s="31"/>
      <c r="AH49" s="31"/>
      <c r="AI49" s="31"/>
      <c r="AJ49" s="32" t="s">
        <v>329</v>
      </c>
      <c r="AK49" s="31"/>
      <c r="AL49" s="30" t="b">
        <v>1</v>
      </c>
      <c r="AM49" s="31"/>
      <c r="AN49" s="31"/>
      <c r="AO49" s="31"/>
      <c r="AP49" s="31"/>
      <c r="AQ49" s="31"/>
    </row>
    <row r="50" ht="12.75" customHeight="1">
      <c r="A50" s="30" t="s">
        <v>330</v>
      </c>
      <c r="B50" s="30" t="s">
        <v>331</v>
      </c>
      <c r="C50" s="30" t="s">
        <v>332</v>
      </c>
      <c r="D50" s="30" t="s">
        <v>333</v>
      </c>
      <c r="E50" s="30" t="s">
        <v>195</v>
      </c>
      <c r="F50" s="30" t="s">
        <v>211</v>
      </c>
      <c r="G50" s="31"/>
      <c r="H50" s="31"/>
      <c r="I50" s="31"/>
      <c r="J50" s="31"/>
      <c r="K50" s="31"/>
      <c r="L50" s="31"/>
      <c r="M50" s="31"/>
      <c r="N50" s="30">
        <v>1.0</v>
      </c>
      <c r="O50" s="31"/>
      <c r="P50" s="30">
        <v>2.0</v>
      </c>
      <c r="Q50" s="30">
        <v>2.0</v>
      </c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0" t="b">
        <f t="shared" si="5"/>
        <v>1</v>
      </c>
      <c r="AC50" s="30" t="b">
        <v>1</v>
      </c>
      <c r="AD50" s="31"/>
      <c r="AE50" s="31"/>
      <c r="AF50" s="31"/>
      <c r="AG50" s="31"/>
      <c r="AH50" s="30" t="b">
        <v>1</v>
      </c>
      <c r="AI50" s="31"/>
      <c r="AJ50" s="30" t="s">
        <v>334</v>
      </c>
      <c r="AK50" s="31"/>
      <c r="AL50" s="30" t="b">
        <v>1</v>
      </c>
      <c r="AM50" s="31"/>
      <c r="AN50" s="31"/>
      <c r="AO50" s="31"/>
      <c r="AP50" s="31"/>
      <c r="AQ50" s="31"/>
    </row>
    <row r="51" ht="12.75" customHeight="1">
      <c r="A51" s="30" t="s">
        <v>335</v>
      </c>
      <c r="B51" s="30" t="s">
        <v>336</v>
      </c>
      <c r="C51" s="31"/>
      <c r="D51" s="30" t="s">
        <v>337</v>
      </c>
      <c r="E51" s="30" t="s">
        <v>195</v>
      </c>
      <c r="F51" s="30" t="s">
        <v>211</v>
      </c>
      <c r="G51" s="31"/>
      <c r="H51" s="31"/>
      <c r="I51" s="31"/>
      <c r="J51" s="31"/>
      <c r="K51" s="31"/>
      <c r="L51" s="31"/>
      <c r="M51" s="31"/>
      <c r="N51" s="30">
        <v>2.0</v>
      </c>
      <c r="O51" s="31"/>
      <c r="P51" s="31"/>
      <c r="Q51" s="30">
        <v>2.0</v>
      </c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0" t="b">
        <f t="shared" si="5"/>
        <v>1</v>
      </c>
      <c r="AC51" s="30" t="b">
        <v>1</v>
      </c>
      <c r="AD51" s="31"/>
      <c r="AE51" s="31"/>
      <c r="AF51" s="31"/>
      <c r="AG51" s="31"/>
      <c r="AH51" s="31"/>
      <c r="AI51" s="31"/>
      <c r="AJ51" s="32" t="s">
        <v>338</v>
      </c>
      <c r="AK51" s="31"/>
      <c r="AL51" s="30" t="b">
        <v>1</v>
      </c>
      <c r="AM51" s="31"/>
      <c r="AN51" s="31"/>
      <c r="AO51" s="31"/>
      <c r="AP51" s="31"/>
      <c r="AQ51" s="31"/>
    </row>
    <row r="52" ht="12.75" customHeight="1">
      <c r="A52" s="30" t="s">
        <v>339</v>
      </c>
      <c r="B52" s="30" t="s">
        <v>340</v>
      </c>
      <c r="C52" s="30" t="s">
        <v>341</v>
      </c>
      <c r="D52" s="30" t="s">
        <v>342</v>
      </c>
      <c r="E52" s="30" t="s">
        <v>195</v>
      </c>
      <c r="F52" s="30" t="s">
        <v>211</v>
      </c>
      <c r="G52" s="31"/>
      <c r="H52" s="31"/>
      <c r="I52" s="31"/>
      <c r="J52" s="31"/>
      <c r="K52" s="31"/>
      <c r="L52" s="31"/>
      <c r="M52" s="31"/>
      <c r="N52" s="30">
        <v>2.0</v>
      </c>
      <c r="O52" s="31"/>
      <c r="P52" s="31"/>
      <c r="Q52" s="30">
        <v>2.0</v>
      </c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0" t="b">
        <f t="shared" si="5"/>
        <v>1</v>
      </c>
      <c r="AC52" s="30" t="b">
        <v>1</v>
      </c>
      <c r="AD52" s="30" t="b">
        <v>1</v>
      </c>
      <c r="AE52" s="31"/>
      <c r="AF52" s="31"/>
      <c r="AG52" s="31"/>
      <c r="AH52" s="31"/>
      <c r="AI52" s="31"/>
      <c r="AJ52" s="32" t="s">
        <v>343</v>
      </c>
      <c r="AK52" s="31"/>
      <c r="AL52" s="30" t="b">
        <v>1</v>
      </c>
      <c r="AM52" s="31"/>
      <c r="AN52" s="31"/>
      <c r="AO52" s="31"/>
      <c r="AP52" s="31"/>
      <c r="AQ52" s="31"/>
    </row>
    <row r="53" ht="12.75" customHeight="1">
      <c r="A53" s="30" t="s">
        <v>344</v>
      </c>
      <c r="B53" s="30" t="s">
        <v>345</v>
      </c>
      <c r="C53" s="30" t="s">
        <v>346</v>
      </c>
      <c r="D53" s="30" t="s">
        <v>347</v>
      </c>
      <c r="E53" s="30" t="s">
        <v>195</v>
      </c>
      <c r="F53" s="30" t="s">
        <v>211</v>
      </c>
      <c r="G53" s="31"/>
      <c r="H53" s="31"/>
      <c r="I53" s="31"/>
      <c r="J53" s="31"/>
      <c r="K53" s="31"/>
      <c r="L53" s="31"/>
      <c r="M53" s="31"/>
      <c r="N53" s="30">
        <v>2.0</v>
      </c>
      <c r="O53" s="31"/>
      <c r="P53" s="31"/>
      <c r="Q53" s="30">
        <v>2.0</v>
      </c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0" t="b">
        <f t="shared" si="5"/>
        <v>1</v>
      </c>
      <c r="AC53" s="30" t="b">
        <v>0</v>
      </c>
      <c r="AD53" s="30" t="b">
        <v>1</v>
      </c>
      <c r="AE53" s="31"/>
      <c r="AF53" s="31"/>
      <c r="AG53" s="31"/>
      <c r="AH53" s="31"/>
      <c r="AI53" s="31"/>
      <c r="AJ53" s="31"/>
      <c r="AK53" s="31"/>
      <c r="AL53" s="30" t="b">
        <v>1</v>
      </c>
      <c r="AM53" s="31"/>
      <c r="AN53" s="31"/>
      <c r="AO53" s="31"/>
      <c r="AP53" s="31"/>
      <c r="AQ53" s="31"/>
    </row>
    <row r="54" ht="12.75" customHeight="1">
      <c r="A54" s="30" t="s">
        <v>348</v>
      </c>
      <c r="B54" s="30" t="s">
        <v>349</v>
      </c>
      <c r="C54" s="30" t="s">
        <v>350</v>
      </c>
      <c r="D54" s="30" t="s">
        <v>351</v>
      </c>
      <c r="E54" s="30" t="s">
        <v>195</v>
      </c>
      <c r="F54" s="30" t="s">
        <v>352</v>
      </c>
      <c r="G54" s="31"/>
      <c r="H54" s="31"/>
      <c r="I54" s="31"/>
      <c r="J54" s="31"/>
      <c r="K54" s="31"/>
      <c r="L54" s="31"/>
      <c r="M54" s="31"/>
      <c r="N54" s="30">
        <v>2.0</v>
      </c>
      <c r="O54" s="31"/>
      <c r="P54" s="31"/>
      <c r="Q54" s="30">
        <v>2.0</v>
      </c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0" t="b">
        <f t="shared" si="5"/>
        <v>1</v>
      </c>
      <c r="AC54" s="30" t="b">
        <v>0</v>
      </c>
      <c r="AD54" s="30" t="b">
        <v>1</v>
      </c>
      <c r="AE54" s="31"/>
      <c r="AF54" s="31"/>
      <c r="AG54" s="31"/>
      <c r="AH54" s="31"/>
      <c r="AI54" s="31"/>
      <c r="AJ54" s="30" t="s">
        <v>353</v>
      </c>
      <c r="AK54" s="31"/>
      <c r="AL54" s="30" t="b">
        <v>1</v>
      </c>
      <c r="AM54" s="31"/>
      <c r="AN54" s="31"/>
      <c r="AO54" s="31"/>
      <c r="AP54" s="31"/>
      <c r="AQ54" s="31"/>
    </row>
    <row r="55" ht="12.75" customHeight="1">
      <c r="A55" s="30" t="s">
        <v>354</v>
      </c>
      <c r="B55" s="30" t="s">
        <v>355</v>
      </c>
      <c r="C55" s="30" t="s">
        <v>356</v>
      </c>
      <c r="D55" s="31"/>
      <c r="E55" s="30" t="s">
        <v>195</v>
      </c>
      <c r="F55" s="30" t="s">
        <v>271</v>
      </c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0" t="b">
        <f t="shared" si="5"/>
        <v>0</v>
      </c>
      <c r="AC55" s="31" t="b">
        <v>0</v>
      </c>
      <c r="AD55" s="30" t="b">
        <v>1</v>
      </c>
      <c r="AE55" s="31"/>
      <c r="AF55" s="31"/>
      <c r="AG55" s="31"/>
      <c r="AH55" s="31"/>
      <c r="AI55" s="31"/>
      <c r="AJ55" s="31"/>
      <c r="AK55" s="31"/>
      <c r="AL55" s="30" t="b">
        <v>1</v>
      </c>
      <c r="AM55" s="31"/>
      <c r="AN55" s="31"/>
      <c r="AO55" s="31"/>
      <c r="AP55" s="31"/>
      <c r="AQ55" s="31"/>
    </row>
    <row r="56" ht="12.75" customHeight="1">
      <c r="A56" s="30" t="s">
        <v>357</v>
      </c>
      <c r="B56" s="30" t="s">
        <v>358</v>
      </c>
      <c r="C56" s="31"/>
      <c r="D56" s="30" t="s">
        <v>359</v>
      </c>
      <c r="E56" s="30" t="s">
        <v>195</v>
      </c>
      <c r="F56" s="30" t="s">
        <v>211</v>
      </c>
      <c r="G56" s="31"/>
      <c r="H56" s="31"/>
      <c r="I56" s="31"/>
      <c r="J56" s="31"/>
      <c r="K56" s="31"/>
      <c r="L56" s="31"/>
      <c r="M56" s="31"/>
      <c r="N56" s="30">
        <v>3.0</v>
      </c>
      <c r="O56" s="31"/>
      <c r="P56" s="31"/>
      <c r="Q56" s="30">
        <v>2.0</v>
      </c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0" t="b">
        <f t="shared" si="5"/>
        <v>1</v>
      </c>
      <c r="AC56" s="30" t="b">
        <v>1</v>
      </c>
      <c r="AD56" s="30" t="b">
        <v>1</v>
      </c>
      <c r="AE56" s="31"/>
      <c r="AF56" s="31"/>
      <c r="AG56" s="31"/>
      <c r="AH56" s="31"/>
      <c r="AI56" s="31"/>
      <c r="AJ56" s="30" t="s">
        <v>360</v>
      </c>
      <c r="AK56" s="31"/>
      <c r="AL56" s="30" t="b">
        <v>1</v>
      </c>
      <c r="AM56" s="31"/>
      <c r="AN56" s="31"/>
      <c r="AO56" s="31"/>
      <c r="AP56" s="31"/>
      <c r="AQ56" s="31"/>
    </row>
    <row r="57" ht="12.75" customHeight="1">
      <c r="A57" s="30" t="s">
        <v>361</v>
      </c>
      <c r="B57" s="30" t="s">
        <v>362</v>
      </c>
      <c r="C57" s="31"/>
      <c r="D57" s="30" t="s">
        <v>363</v>
      </c>
      <c r="E57" s="30" t="s">
        <v>195</v>
      </c>
      <c r="F57" s="30" t="s">
        <v>211</v>
      </c>
      <c r="G57" s="31"/>
      <c r="H57" s="31"/>
      <c r="I57" s="31"/>
      <c r="J57" s="31"/>
      <c r="K57" s="31"/>
      <c r="L57" s="30" t="s">
        <v>364</v>
      </c>
      <c r="M57" s="31"/>
      <c r="N57" s="30">
        <v>3.0</v>
      </c>
      <c r="O57" s="31"/>
      <c r="P57" s="31"/>
      <c r="Q57" s="30">
        <v>2.0</v>
      </c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0" t="b">
        <f t="shared" si="5"/>
        <v>1</v>
      </c>
      <c r="AC57" s="30" t="b">
        <v>1</v>
      </c>
      <c r="AD57" s="31"/>
      <c r="AE57" s="31"/>
      <c r="AF57" s="31"/>
      <c r="AG57" s="31"/>
      <c r="AH57" s="31"/>
      <c r="AI57" s="31"/>
      <c r="AJ57" s="30" t="s">
        <v>365</v>
      </c>
      <c r="AK57" s="31"/>
      <c r="AL57" s="30" t="b">
        <v>1</v>
      </c>
      <c r="AM57" s="31"/>
      <c r="AN57" s="31"/>
      <c r="AO57" s="31"/>
      <c r="AP57" s="31"/>
      <c r="AQ57" s="31"/>
    </row>
    <row r="58" ht="12.75" customHeight="1">
      <c r="A58" s="30" t="s">
        <v>366</v>
      </c>
      <c r="B58" s="30" t="s">
        <v>367</v>
      </c>
      <c r="C58" s="31"/>
      <c r="D58" s="30" t="s">
        <v>368</v>
      </c>
      <c r="E58" s="30" t="s">
        <v>195</v>
      </c>
      <c r="F58" s="30" t="s">
        <v>211</v>
      </c>
      <c r="G58" s="31"/>
      <c r="H58" s="31"/>
      <c r="I58" s="31"/>
      <c r="J58" s="31"/>
      <c r="K58" s="31"/>
      <c r="L58" s="31"/>
      <c r="M58" s="31"/>
      <c r="N58" s="30">
        <v>3.0</v>
      </c>
      <c r="O58" s="31"/>
      <c r="P58" s="31"/>
      <c r="Q58" s="30">
        <v>2.0</v>
      </c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0" t="b">
        <f t="shared" si="5"/>
        <v>1</v>
      </c>
      <c r="AC58" s="30" t="b">
        <v>1</v>
      </c>
      <c r="AD58" s="31"/>
      <c r="AE58" s="31"/>
      <c r="AF58" s="31"/>
      <c r="AG58" s="31"/>
      <c r="AH58" s="31"/>
      <c r="AI58" s="31"/>
      <c r="AJ58" s="31"/>
      <c r="AK58" s="31"/>
      <c r="AL58" s="30" t="b">
        <v>1</v>
      </c>
      <c r="AM58" s="31"/>
      <c r="AN58" s="31"/>
      <c r="AO58" s="31"/>
      <c r="AP58" s="31"/>
      <c r="AQ58" s="31"/>
    </row>
    <row r="59" ht="12.75" customHeight="1">
      <c r="A59" s="30" t="s">
        <v>369</v>
      </c>
      <c r="B59" s="30" t="s">
        <v>370</v>
      </c>
      <c r="C59" s="31"/>
      <c r="D59" s="30" t="s">
        <v>371</v>
      </c>
      <c r="E59" s="30" t="s">
        <v>195</v>
      </c>
      <c r="F59" s="30" t="s">
        <v>211</v>
      </c>
      <c r="G59" s="31"/>
      <c r="H59" s="31"/>
      <c r="I59" s="31"/>
      <c r="J59" s="31"/>
      <c r="K59" s="31"/>
      <c r="L59" s="31"/>
      <c r="M59" s="31"/>
      <c r="N59" s="30">
        <v>3.0</v>
      </c>
      <c r="O59" s="31"/>
      <c r="P59" s="31"/>
      <c r="Q59" s="30">
        <v>2.0</v>
      </c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0" t="b">
        <f t="shared" si="5"/>
        <v>1</v>
      </c>
      <c r="AC59" s="30" t="b">
        <v>0</v>
      </c>
      <c r="AD59" s="31"/>
      <c r="AE59" s="31"/>
      <c r="AF59" s="31"/>
      <c r="AG59" s="31"/>
      <c r="AH59" s="31"/>
      <c r="AI59" s="31"/>
      <c r="AJ59" s="30" t="s">
        <v>372</v>
      </c>
      <c r="AK59" s="31"/>
      <c r="AL59" s="30" t="b">
        <v>1</v>
      </c>
      <c r="AM59" s="31"/>
      <c r="AN59" s="31"/>
      <c r="AO59" s="31"/>
      <c r="AP59" s="31"/>
      <c r="AQ59" s="31"/>
    </row>
    <row r="60" ht="12.75" customHeight="1">
      <c r="A60" s="30" t="s">
        <v>373</v>
      </c>
      <c r="B60" s="30" t="s">
        <v>374</v>
      </c>
      <c r="C60" s="30" t="s">
        <v>375</v>
      </c>
      <c r="D60" s="30" t="s">
        <v>376</v>
      </c>
      <c r="E60" s="30" t="s">
        <v>195</v>
      </c>
      <c r="F60" s="30" t="s">
        <v>211</v>
      </c>
      <c r="G60" s="31"/>
      <c r="H60" s="31"/>
      <c r="I60" s="31"/>
      <c r="J60" s="31"/>
      <c r="K60" s="31"/>
      <c r="L60" s="30" t="b">
        <v>1</v>
      </c>
      <c r="M60" s="31"/>
      <c r="N60" s="30">
        <v>3.0</v>
      </c>
      <c r="O60" s="31"/>
      <c r="P60" s="31"/>
      <c r="Q60" s="30">
        <v>2.0</v>
      </c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0" t="b">
        <f t="shared" si="5"/>
        <v>1</v>
      </c>
      <c r="AC60" s="30" t="b">
        <v>1</v>
      </c>
      <c r="AD60" s="31"/>
      <c r="AE60" s="31"/>
      <c r="AF60" s="31"/>
      <c r="AG60" s="31"/>
      <c r="AH60" s="31"/>
      <c r="AI60" s="31"/>
      <c r="AJ60" s="30" t="s">
        <v>377</v>
      </c>
      <c r="AK60" s="31"/>
      <c r="AL60" s="30" t="b">
        <v>1</v>
      </c>
      <c r="AM60" s="31"/>
      <c r="AN60" s="31"/>
      <c r="AO60" s="31"/>
      <c r="AP60" s="31"/>
      <c r="AQ60" s="31"/>
    </row>
    <row r="61" ht="12.75" customHeight="1">
      <c r="A61" s="30" t="s">
        <v>378</v>
      </c>
      <c r="B61" s="30" t="s">
        <v>379</v>
      </c>
      <c r="C61" s="30" t="s">
        <v>380</v>
      </c>
      <c r="D61" s="30" t="s">
        <v>376</v>
      </c>
      <c r="E61" s="30" t="s">
        <v>195</v>
      </c>
      <c r="F61" s="30" t="s">
        <v>352</v>
      </c>
      <c r="G61" s="31"/>
      <c r="H61" s="31"/>
      <c r="I61" s="31"/>
      <c r="J61" s="31"/>
      <c r="K61" s="31"/>
      <c r="L61" s="30" t="b">
        <v>1</v>
      </c>
      <c r="M61" s="31"/>
      <c r="N61" s="30">
        <v>3.0</v>
      </c>
      <c r="O61" s="31"/>
      <c r="P61" s="31"/>
      <c r="Q61" s="30">
        <v>2.0</v>
      </c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0" t="b">
        <f t="shared" si="5"/>
        <v>1</v>
      </c>
      <c r="AC61" s="30" t="b">
        <v>0</v>
      </c>
      <c r="AD61" s="31"/>
      <c r="AE61" s="31"/>
      <c r="AF61" s="31"/>
      <c r="AG61" s="31"/>
      <c r="AH61" s="31"/>
      <c r="AI61" s="31"/>
      <c r="AJ61" s="30" t="s">
        <v>381</v>
      </c>
      <c r="AK61" s="31"/>
      <c r="AL61" s="30" t="b">
        <v>1</v>
      </c>
      <c r="AM61" s="31"/>
      <c r="AN61" s="31"/>
      <c r="AO61" s="31"/>
      <c r="AP61" s="31"/>
      <c r="AQ61" s="31"/>
    </row>
    <row r="62" ht="12.75" customHeight="1">
      <c r="A62" s="30" t="s">
        <v>382</v>
      </c>
      <c r="B62" s="30" t="s">
        <v>383</v>
      </c>
      <c r="C62" s="30" t="s">
        <v>384</v>
      </c>
      <c r="D62" s="31"/>
      <c r="E62" s="30" t="s">
        <v>195</v>
      </c>
      <c r="F62" s="30" t="s">
        <v>271</v>
      </c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0" t="b">
        <f t="shared" si="5"/>
        <v>0</v>
      </c>
      <c r="AC62" s="31" t="b">
        <v>0</v>
      </c>
      <c r="AD62" s="31"/>
      <c r="AE62" s="31"/>
      <c r="AF62" s="31"/>
      <c r="AG62" s="31"/>
      <c r="AH62" s="31"/>
      <c r="AI62" s="31"/>
      <c r="AJ62" s="31"/>
      <c r="AK62" s="31"/>
      <c r="AL62" s="30" t="b">
        <v>1</v>
      </c>
      <c r="AM62" s="31"/>
      <c r="AN62" s="31"/>
      <c r="AO62" s="31"/>
      <c r="AP62" s="31"/>
      <c r="AQ62" s="31"/>
    </row>
    <row r="63" ht="12.75" customHeight="1">
      <c r="A63" s="30" t="s">
        <v>385</v>
      </c>
      <c r="B63" s="30" t="s">
        <v>386</v>
      </c>
      <c r="C63" s="30" t="s">
        <v>387</v>
      </c>
      <c r="D63" s="30" t="s">
        <v>388</v>
      </c>
      <c r="E63" s="30" t="s">
        <v>195</v>
      </c>
      <c r="F63" s="30" t="s">
        <v>196</v>
      </c>
      <c r="G63" s="31"/>
      <c r="H63" s="31"/>
      <c r="I63" s="31"/>
      <c r="J63" s="31"/>
      <c r="K63" s="31"/>
      <c r="L63" s="31"/>
      <c r="M63" s="31"/>
      <c r="N63" s="30">
        <v>6.0</v>
      </c>
      <c r="O63" s="31"/>
      <c r="P63" s="31"/>
      <c r="Q63" s="31"/>
      <c r="R63" s="31"/>
      <c r="S63" s="31"/>
      <c r="T63" s="31"/>
      <c r="U63" s="31"/>
      <c r="V63" s="30">
        <v>1.0</v>
      </c>
      <c r="W63" s="31"/>
      <c r="X63" s="31"/>
      <c r="Y63" s="31"/>
      <c r="Z63" s="31"/>
      <c r="AA63" s="31"/>
      <c r="AB63" s="30" t="b">
        <f t="shared" si="5"/>
        <v>0</v>
      </c>
      <c r="AC63" s="30" t="b">
        <v>1</v>
      </c>
      <c r="AD63" s="31"/>
      <c r="AE63" s="31"/>
      <c r="AF63" s="31"/>
      <c r="AG63" s="31"/>
      <c r="AH63" s="31"/>
      <c r="AI63" s="31"/>
      <c r="AJ63" s="30" t="s">
        <v>389</v>
      </c>
      <c r="AK63" s="31"/>
      <c r="AL63" s="30" t="b">
        <v>1</v>
      </c>
      <c r="AM63" s="31"/>
      <c r="AN63" s="31"/>
      <c r="AO63" s="31"/>
      <c r="AP63" s="31"/>
      <c r="AQ63" s="31"/>
    </row>
    <row r="64" ht="12.75" customHeight="1">
      <c r="A64" s="30" t="s">
        <v>390</v>
      </c>
      <c r="B64" s="30" t="s">
        <v>390</v>
      </c>
      <c r="C64" s="30" t="s">
        <v>391</v>
      </c>
      <c r="D64" s="30" t="s">
        <v>392</v>
      </c>
      <c r="E64" s="30" t="s">
        <v>195</v>
      </c>
      <c r="F64" s="31"/>
      <c r="G64" s="31"/>
      <c r="H64" s="31"/>
      <c r="I64" s="31"/>
      <c r="J64" s="31"/>
      <c r="K64" s="31"/>
      <c r="L64" s="30" t="b">
        <v>1</v>
      </c>
      <c r="M64" s="31"/>
      <c r="N64" s="30">
        <v>12.0</v>
      </c>
      <c r="O64" s="31"/>
      <c r="P64" s="31"/>
      <c r="Q64" s="30">
        <v>6.0</v>
      </c>
      <c r="R64" s="31"/>
      <c r="S64" s="31"/>
      <c r="T64" s="31"/>
      <c r="U64" s="31"/>
      <c r="V64" s="30">
        <v>1.0</v>
      </c>
      <c r="W64" s="31"/>
      <c r="X64" s="31"/>
      <c r="Y64" s="31"/>
      <c r="Z64" s="31"/>
      <c r="AA64" s="31"/>
      <c r="AB64" s="30" t="b">
        <f t="shared" si="5"/>
        <v>1</v>
      </c>
      <c r="AC64" s="30" t="b">
        <v>0</v>
      </c>
      <c r="AD64" s="30" t="b">
        <v>1</v>
      </c>
      <c r="AE64" s="31"/>
      <c r="AF64" s="31"/>
      <c r="AG64" s="31"/>
      <c r="AH64" s="31"/>
      <c r="AI64" s="30" t="s">
        <v>255</v>
      </c>
      <c r="AJ64" s="30" t="s">
        <v>393</v>
      </c>
      <c r="AK64" s="31"/>
      <c r="AL64" s="30" t="b">
        <v>1</v>
      </c>
      <c r="AM64" s="31"/>
      <c r="AN64" s="31"/>
      <c r="AO64" s="31"/>
      <c r="AP64" s="31"/>
      <c r="AQ64" s="31"/>
    </row>
    <row r="65" ht="12.75" customHeight="1">
      <c r="A65" s="30" t="s">
        <v>394</v>
      </c>
      <c r="B65" s="30" t="s">
        <v>395</v>
      </c>
      <c r="C65" s="30" t="s">
        <v>396</v>
      </c>
      <c r="D65" s="30" t="s">
        <v>397</v>
      </c>
      <c r="E65" s="30" t="s">
        <v>195</v>
      </c>
      <c r="F65" s="30" t="s">
        <v>196</v>
      </c>
      <c r="G65" s="31"/>
      <c r="H65" s="31"/>
      <c r="I65" s="31"/>
      <c r="J65" s="31"/>
      <c r="K65" s="31"/>
      <c r="L65" s="31"/>
      <c r="M65" s="31"/>
      <c r="N65" s="30">
        <v>6.0</v>
      </c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0" t="b">
        <f t="shared" si="5"/>
        <v>0</v>
      </c>
      <c r="AC65" s="30" t="b">
        <v>1</v>
      </c>
      <c r="AD65" s="31"/>
      <c r="AE65" s="31"/>
      <c r="AF65" s="31"/>
      <c r="AG65" s="31"/>
      <c r="AH65" s="31"/>
      <c r="AI65" s="31"/>
      <c r="AJ65" s="30" t="s">
        <v>398</v>
      </c>
      <c r="AK65" s="31"/>
      <c r="AL65" s="30" t="b">
        <v>1</v>
      </c>
      <c r="AM65" s="31"/>
      <c r="AN65" s="31"/>
      <c r="AO65" s="31"/>
      <c r="AP65" s="31"/>
      <c r="AQ65" s="31"/>
    </row>
    <row r="66" ht="12.75" customHeight="1">
      <c r="A66" s="30" t="s">
        <v>399</v>
      </c>
      <c r="B66" s="30" t="s">
        <v>400</v>
      </c>
      <c r="C66" s="30" t="s">
        <v>401</v>
      </c>
      <c r="D66" s="30" t="s">
        <v>402</v>
      </c>
      <c r="E66" s="30" t="s">
        <v>118</v>
      </c>
      <c r="F66" s="30" t="s">
        <v>128</v>
      </c>
      <c r="G66" s="31"/>
      <c r="H66" s="30" t="b">
        <v>1</v>
      </c>
      <c r="I66" s="31"/>
      <c r="J66" s="31" t="b">
        <v>1</v>
      </c>
      <c r="K66" s="31"/>
      <c r="L66" s="31"/>
      <c r="M66" s="31"/>
      <c r="N66" s="30">
        <v>8.0</v>
      </c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0" t="b">
        <f t="shared" si="5"/>
        <v>0</v>
      </c>
      <c r="AC66" s="30" t="b">
        <v>0</v>
      </c>
      <c r="AD66" s="30" t="b">
        <v>1</v>
      </c>
      <c r="AE66" s="31"/>
      <c r="AF66" s="31"/>
      <c r="AG66" s="31"/>
      <c r="AH66" s="31"/>
      <c r="AI66" s="31"/>
      <c r="AJ66" s="30" t="s">
        <v>403</v>
      </c>
      <c r="AK66" s="31"/>
      <c r="AL66" s="30" t="b">
        <v>1</v>
      </c>
      <c r="AM66" s="30" t="b">
        <v>1</v>
      </c>
      <c r="AN66" s="31"/>
      <c r="AO66" s="31"/>
      <c r="AP66" s="31"/>
      <c r="AQ66" s="31"/>
    </row>
    <row r="67" ht="12.75" customHeight="1">
      <c r="A67" s="30" t="s">
        <v>404</v>
      </c>
      <c r="B67" s="30" t="s">
        <v>405</v>
      </c>
      <c r="C67" s="30" t="s">
        <v>406</v>
      </c>
      <c r="D67" s="30" t="s">
        <v>407</v>
      </c>
      <c r="E67" s="30" t="s">
        <v>118</v>
      </c>
      <c r="F67" s="31"/>
      <c r="G67" s="31"/>
      <c r="H67" s="31"/>
      <c r="I67" s="31"/>
      <c r="J67" s="31"/>
      <c r="K67" s="30" t="b">
        <v>1</v>
      </c>
      <c r="L67" s="31"/>
      <c r="M67" s="31"/>
      <c r="N67" s="30">
        <v>16.0</v>
      </c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0" t="b">
        <f t="shared" si="5"/>
        <v>0</v>
      </c>
      <c r="AC67" s="30" t="b">
        <v>0</v>
      </c>
      <c r="AD67" s="31"/>
      <c r="AE67" s="31"/>
      <c r="AF67" s="31"/>
      <c r="AG67" s="31"/>
      <c r="AH67" s="31"/>
      <c r="AI67" s="31"/>
      <c r="AJ67" s="34" t="s">
        <v>408</v>
      </c>
      <c r="AK67" s="31"/>
      <c r="AL67" s="30" t="b">
        <v>1</v>
      </c>
      <c r="AM67" s="31"/>
      <c r="AN67" s="31"/>
      <c r="AO67" s="31"/>
      <c r="AP67" s="31"/>
      <c r="AQ67" s="31"/>
    </row>
    <row r="68" ht="12.75" customHeight="1">
      <c r="A68" s="30" t="s">
        <v>409</v>
      </c>
      <c r="B68" s="30" t="s">
        <v>410</v>
      </c>
      <c r="C68" s="30" t="s">
        <v>411</v>
      </c>
      <c r="D68" s="30" t="s">
        <v>412</v>
      </c>
      <c r="E68" s="30" t="s">
        <v>118</v>
      </c>
      <c r="F68" s="31"/>
      <c r="G68" s="31"/>
      <c r="H68" s="31"/>
      <c r="I68" s="31"/>
      <c r="J68" s="31"/>
      <c r="K68" s="30" t="b">
        <v>1</v>
      </c>
      <c r="L68" s="31"/>
      <c r="M68" s="31"/>
      <c r="N68" s="30">
        <v>13.0</v>
      </c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0" t="b">
        <f t="shared" si="5"/>
        <v>0</v>
      </c>
      <c r="AC68" s="30" t="b">
        <v>0</v>
      </c>
      <c r="AD68" s="31"/>
      <c r="AE68" s="31"/>
      <c r="AF68" s="31"/>
      <c r="AG68" s="31"/>
      <c r="AH68" s="31"/>
      <c r="AI68" s="31"/>
      <c r="AJ68" s="30" t="s">
        <v>413</v>
      </c>
      <c r="AK68" s="30" t="s">
        <v>414</v>
      </c>
      <c r="AL68" s="30" t="b">
        <v>1</v>
      </c>
      <c r="AM68" s="31"/>
      <c r="AN68" s="31"/>
      <c r="AO68" s="31"/>
      <c r="AP68" s="31"/>
      <c r="AQ68" s="31"/>
    </row>
    <row r="69" ht="12.75" customHeight="1">
      <c r="A69" s="30" t="s">
        <v>415</v>
      </c>
      <c r="B69" s="30" t="s">
        <v>415</v>
      </c>
      <c r="C69" s="30" t="s">
        <v>416</v>
      </c>
      <c r="D69" s="30" t="s">
        <v>417</v>
      </c>
      <c r="E69" s="30" t="s">
        <v>195</v>
      </c>
      <c r="F69" s="30" t="s">
        <v>211</v>
      </c>
      <c r="G69" s="31"/>
      <c r="H69" s="31"/>
      <c r="I69" s="31"/>
      <c r="J69" s="31"/>
      <c r="K69" s="31"/>
      <c r="L69" s="31"/>
      <c r="M69" s="31"/>
      <c r="N69" s="30">
        <v>2.0</v>
      </c>
      <c r="O69" s="31"/>
      <c r="P69" s="30">
        <v>3.0</v>
      </c>
      <c r="Q69" s="30">
        <v>3.0</v>
      </c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0" t="b">
        <f t="shared" si="5"/>
        <v>1</v>
      </c>
      <c r="AC69" s="30" t="b">
        <v>1</v>
      </c>
      <c r="AD69" s="31"/>
      <c r="AE69" s="31"/>
      <c r="AF69" s="31"/>
      <c r="AG69" s="31"/>
      <c r="AH69" s="31"/>
      <c r="AI69" s="31"/>
      <c r="AJ69" s="30" t="s">
        <v>418</v>
      </c>
      <c r="AK69" s="31"/>
      <c r="AL69" s="30" t="b">
        <v>1</v>
      </c>
      <c r="AM69" s="31"/>
      <c r="AN69" s="31"/>
      <c r="AO69" s="31"/>
      <c r="AP69" s="31"/>
      <c r="AQ69" s="31"/>
    </row>
    <row r="70" ht="12.75" customHeight="1">
      <c r="A70" s="30" t="s">
        <v>419</v>
      </c>
      <c r="B70" s="30" t="s">
        <v>420</v>
      </c>
      <c r="C70" s="31"/>
      <c r="D70" s="31"/>
      <c r="E70" s="30" t="s">
        <v>195</v>
      </c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0" t="b">
        <f t="shared" si="5"/>
        <v>0</v>
      </c>
      <c r="AC70" s="30" t="b">
        <v>0</v>
      </c>
      <c r="AD70" s="30" t="b">
        <v>1</v>
      </c>
      <c r="AE70" s="31"/>
      <c r="AF70" s="31"/>
      <c r="AG70" s="31"/>
      <c r="AH70" s="31"/>
      <c r="AI70" s="30" t="s">
        <v>255</v>
      </c>
      <c r="AJ70" s="30"/>
      <c r="AK70" s="31"/>
      <c r="AL70" s="30" t="b">
        <v>1</v>
      </c>
      <c r="AM70" s="31"/>
      <c r="AN70" s="31"/>
      <c r="AO70" s="31"/>
      <c r="AP70" s="31"/>
      <c r="AQ70" s="31"/>
    </row>
    <row r="71" ht="12.75" customHeight="1">
      <c r="A71" s="30" t="s">
        <v>421</v>
      </c>
      <c r="B71" s="30" t="s">
        <v>422</v>
      </c>
      <c r="C71" s="31"/>
      <c r="D71" s="31"/>
      <c r="E71" s="30" t="s">
        <v>195</v>
      </c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>
        <v>1.0</v>
      </c>
      <c r="AA71" s="31"/>
      <c r="AB71" s="30" t="b">
        <f t="shared" si="5"/>
        <v>0</v>
      </c>
      <c r="AC71" s="30" t="b">
        <v>0</v>
      </c>
      <c r="AD71" s="30" t="b">
        <v>1</v>
      </c>
      <c r="AE71" s="31"/>
      <c r="AF71" s="31"/>
      <c r="AG71" s="31"/>
      <c r="AH71" s="31"/>
      <c r="AI71" s="31"/>
      <c r="AJ71" s="30" t="s">
        <v>423</v>
      </c>
      <c r="AK71" s="31"/>
      <c r="AL71" s="30" t="b">
        <v>1</v>
      </c>
      <c r="AM71" s="31"/>
      <c r="AN71" s="31"/>
      <c r="AO71" s="31"/>
      <c r="AP71" s="31"/>
      <c r="AQ71" s="31"/>
    </row>
    <row r="72" ht="12.75" customHeight="1">
      <c r="A72" s="30" t="s">
        <v>424</v>
      </c>
      <c r="B72" s="30" t="s">
        <v>425</v>
      </c>
      <c r="C72" s="31"/>
      <c r="D72" s="31"/>
      <c r="E72" s="30" t="s">
        <v>195</v>
      </c>
      <c r="F72" s="30" t="s">
        <v>271</v>
      </c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0" t="b">
        <f t="shared" si="5"/>
        <v>0</v>
      </c>
      <c r="AC72" s="30" t="b">
        <v>0</v>
      </c>
      <c r="AD72" s="31"/>
      <c r="AE72" s="31"/>
      <c r="AF72" s="31"/>
      <c r="AG72" s="31"/>
      <c r="AH72" s="31"/>
      <c r="AI72" s="30" t="s">
        <v>426</v>
      </c>
      <c r="AJ72" s="31"/>
      <c r="AK72" s="31"/>
      <c r="AL72" s="30" t="b">
        <v>1</v>
      </c>
      <c r="AM72" s="31"/>
      <c r="AN72" s="31"/>
      <c r="AO72" s="31"/>
      <c r="AP72" s="31"/>
      <c r="AQ72" s="31"/>
    </row>
    <row r="73" ht="12.75" customHeight="1">
      <c r="A73" s="30" t="s">
        <v>427</v>
      </c>
      <c r="B73" s="30" t="s">
        <v>428</v>
      </c>
      <c r="C73" s="31"/>
      <c r="D73" s="31"/>
      <c r="E73" s="30" t="s">
        <v>195</v>
      </c>
      <c r="F73" s="30" t="s">
        <v>429</v>
      </c>
      <c r="G73" s="31"/>
      <c r="H73" s="31"/>
      <c r="I73" s="31"/>
      <c r="J73" s="31"/>
      <c r="K73" s="31"/>
      <c r="L73" s="31"/>
      <c r="M73" s="31"/>
      <c r="N73" s="30"/>
      <c r="O73" s="31"/>
      <c r="P73" s="31"/>
      <c r="Q73" s="30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0" t="b">
        <f t="shared" si="5"/>
        <v>0</v>
      </c>
      <c r="AC73" s="30" t="b">
        <v>1</v>
      </c>
      <c r="AD73" s="31"/>
      <c r="AE73" s="31"/>
      <c r="AF73" s="31"/>
      <c r="AG73" s="31"/>
      <c r="AH73" s="31"/>
      <c r="AI73" s="30" t="s">
        <v>255</v>
      </c>
      <c r="AJ73" s="31"/>
      <c r="AK73" s="31"/>
      <c r="AL73" s="30" t="b">
        <v>1</v>
      </c>
      <c r="AM73" s="31"/>
      <c r="AN73" s="31"/>
      <c r="AO73" s="31"/>
      <c r="AP73" s="31"/>
      <c r="AQ73" s="31"/>
    </row>
    <row r="74" ht="12.75" customHeight="1">
      <c r="A74" s="30" t="s">
        <v>430</v>
      </c>
      <c r="B74" s="30" t="s">
        <v>431</v>
      </c>
      <c r="C74" s="31"/>
      <c r="D74" s="31"/>
      <c r="E74" s="30" t="s">
        <v>195</v>
      </c>
      <c r="F74" s="30" t="s">
        <v>432</v>
      </c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0" t="b">
        <f t="shared" si="5"/>
        <v>0</v>
      </c>
      <c r="AC74" s="30" t="b">
        <v>0</v>
      </c>
      <c r="AD74" s="30" t="b">
        <v>1</v>
      </c>
      <c r="AE74" s="31"/>
      <c r="AF74" s="31"/>
      <c r="AG74" s="31"/>
      <c r="AH74" s="31"/>
      <c r="AI74" s="31"/>
      <c r="AJ74" s="31"/>
      <c r="AK74" s="31"/>
      <c r="AL74" s="30" t="b">
        <v>1</v>
      </c>
      <c r="AM74" s="31"/>
      <c r="AN74" s="31"/>
      <c r="AO74" s="31"/>
      <c r="AP74" s="31"/>
      <c r="AQ74" s="31"/>
    </row>
    <row r="75" ht="12.75" customHeight="1">
      <c r="A75" s="30" t="s">
        <v>433</v>
      </c>
      <c r="B75" s="30" t="s">
        <v>434</v>
      </c>
      <c r="C75" s="30" t="s">
        <v>435</v>
      </c>
      <c r="D75" s="30" t="s">
        <v>436</v>
      </c>
      <c r="E75" s="30" t="s">
        <v>195</v>
      </c>
      <c r="F75" s="30" t="s">
        <v>211</v>
      </c>
      <c r="G75" s="31"/>
      <c r="H75" s="31"/>
      <c r="I75" s="31"/>
      <c r="J75" s="31"/>
      <c r="K75" s="31"/>
      <c r="L75" s="31"/>
      <c r="M75" s="31"/>
      <c r="N75" s="30">
        <v>6.0</v>
      </c>
      <c r="O75" s="31"/>
      <c r="P75" s="31"/>
      <c r="Q75" s="31"/>
      <c r="R75" s="31"/>
      <c r="S75" s="31"/>
      <c r="T75" s="31"/>
      <c r="U75" s="31"/>
      <c r="V75" s="31"/>
      <c r="W75" s="30">
        <v>1.0</v>
      </c>
      <c r="X75" s="31"/>
      <c r="Y75" s="31"/>
      <c r="Z75" s="31"/>
      <c r="AA75" s="31"/>
      <c r="AB75" s="30" t="b">
        <f t="shared" si="5"/>
        <v>0</v>
      </c>
      <c r="AC75" s="30" t="b">
        <v>0</v>
      </c>
      <c r="AD75" s="31"/>
      <c r="AE75" s="31"/>
      <c r="AF75" s="31"/>
      <c r="AG75" s="31"/>
      <c r="AH75" s="31"/>
      <c r="AI75" s="31"/>
      <c r="AJ75" s="31"/>
      <c r="AK75" s="31"/>
      <c r="AL75" s="30" t="b">
        <v>1</v>
      </c>
      <c r="AM75" s="31"/>
      <c r="AN75" s="31"/>
      <c r="AO75" s="31"/>
      <c r="AP75" s="31"/>
      <c r="AQ75" s="31"/>
    </row>
    <row r="76" ht="12.75" customHeight="1">
      <c r="A76" s="30" t="s">
        <v>437</v>
      </c>
      <c r="B76" s="30" t="s">
        <v>438</v>
      </c>
      <c r="C76" s="31"/>
      <c r="D76" s="31"/>
      <c r="E76" s="30" t="s">
        <v>118</v>
      </c>
      <c r="F76" s="30" t="s">
        <v>78</v>
      </c>
      <c r="G76" s="31"/>
      <c r="H76" s="31"/>
      <c r="I76" s="31"/>
      <c r="J76" s="31"/>
      <c r="K76" s="31" t="b">
        <v>1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0" t="b">
        <f t="shared" si="5"/>
        <v>0</v>
      </c>
      <c r="AC76" s="30" t="b">
        <v>0</v>
      </c>
      <c r="AD76" s="31"/>
      <c r="AE76" s="31"/>
      <c r="AF76" s="31"/>
      <c r="AG76" s="31"/>
      <c r="AH76" s="31"/>
      <c r="AI76" s="31"/>
      <c r="AJ76" s="31"/>
      <c r="AK76" s="31"/>
      <c r="AL76" s="30" t="b">
        <v>1</v>
      </c>
      <c r="AM76" s="31"/>
      <c r="AN76" s="31"/>
      <c r="AO76" s="31"/>
      <c r="AP76" s="31"/>
      <c r="AQ76" s="31"/>
    </row>
    <row r="77" ht="12.75" customHeight="1">
      <c r="A77" s="30" t="s">
        <v>439</v>
      </c>
      <c r="B77" s="30" t="s">
        <v>440</v>
      </c>
      <c r="C77" s="31"/>
      <c r="D77" s="31"/>
      <c r="E77" s="30" t="s">
        <v>118</v>
      </c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0" t="b">
        <f t="shared" si="5"/>
        <v>0</v>
      </c>
      <c r="AC77" s="31" t="b">
        <v>0</v>
      </c>
      <c r="AD77" s="31"/>
      <c r="AE77" s="31"/>
      <c r="AF77" s="31"/>
      <c r="AG77" s="31"/>
      <c r="AH77" s="31"/>
      <c r="AI77" s="31"/>
      <c r="AJ77" s="31"/>
      <c r="AK77" s="31"/>
      <c r="AL77" s="30" t="b">
        <v>1</v>
      </c>
      <c r="AM77" s="31"/>
      <c r="AN77" s="31"/>
      <c r="AO77" s="31"/>
      <c r="AP77" s="31"/>
      <c r="AQ77" s="31"/>
    </row>
    <row r="78" ht="12.75" customHeight="1">
      <c r="A78" s="30" t="s">
        <v>441</v>
      </c>
      <c r="B78" s="30" t="s">
        <v>442</v>
      </c>
      <c r="C78" s="31"/>
      <c r="D78" s="31"/>
      <c r="E78" s="30" t="s">
        <v>137</v>
      </c>
      <c r="F78" s="30" t="s">
        <v>138</v>
      </c>
      <c r="G78" s="30" t="s">
        <v>443</v>
      </c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0" t="s">
        <v>140</v>
      </c>
      <c r="AC78" s="30" t="s">
        <v>140</v>
      </c>
      <c r="AD78" s="30" t="b">
        <v>1</v>
      </c>
      <c r="AE78" s="31"/>
      <c r="AF78" s="31"/>
      <c r="AG78" s="31"/>
      <c r="AH78" s="31"/>
      <c r="AI78" s="31"/>
      <c r="AJ78" s="31"/>
      <c r="AK78" s="31"/>
      <c r="AL78" s="30" t="b">
        <v>1</v>
      </c>
      <c r="AM78" s="31"/>
      <c r="AN78" s="31"/>
      <c r="AO78" s="31"/>
      <c r="AP78" s="31"/>
      <c r="AQ78" s="31"/>
    </row>
    <row r="79" ht="12.75" customHeight="1">
      <c r="A79" s="30" t="s">
        <v>444</v>
      </c>
      <c r="B79" s="30" t="s">
        <v>445</v>
      </c>
      <c r="C79" s="31"/>
      <c r="D79" s="31"/>
      <c r="E79" s="30" t="s">
        <v>137</v>
      </c>
      <c r="F79" s="30" t="s">
        <v>138</v>
      </c>
      <c r="G79" s="30" t="s">
        <v>245</v>
      </c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0" t="s">
        <v>140</v>
      </c>
      <c r="AC79" s="30" t="s">
        <v>140</v>
      </c>
      <c r="AD79" s="30" t="b">
        <v>1</v>
      </c>
      <c r="AE79" s="31"/>
      <c r="AF79" s="31"/>
      <c r="AG79" s="31"/>
      <c r="AH79" s="31"/>
      <c r="AI79" s="31"/>
      <c r="AJ79" s="31"/>
      <c r="AK79" s="31"/>
      <c r="AL79" s="30" t="b">
        <v>1</v>
      </c>
      <c r="AM79" s="31"/>
      <c r="AN79" s="31"/>
      <c r="AO79" s="31"/>
      <c r="AP79" s="31"/>
      <c r="AQ79" s="31"/>
    </row>
    <row r="80" ht="12.75" customHeight="1">
      <c r="A80" s="30" t="s">
        <v>446</v>
      </c>
      <c r="B80" s="30" t="s">
        <v>447</v>
      </c>
      <c r="C80" s="31"/>
      <c r="D80" s="31"/>
      <c r="E80" s="30" t="s">
        <v>118</v>
      </c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>
        <v>2.0</v>
      </c>
      <c r="W80" s="31"/>
      <c r="X80" s="31"/>
      <c r="Y80" s="31"/>
      <c r="Z80" s="31"/>
      <c r="AA80" s="31"/>
      <c r="AB80" s="30" t="b">
        <f t="shared" ref="AB80:AB86" si="6">OR(P80&gt;0,Q80&gt;0,R80&gt;0)</f>
        <v>0</v>
      </c>
      <c r="AC80" s="30" t="b">
        <v>0</v>
      </c>
      <c r="AD80" s="30" t="b">
        <v>1</v>
      </c>
      <c r="AE80" s="31"/>
      <c r="AF80" s="31"/>
      <c r="AG80" s="31"/>
      <c r="AH80" s="31"/>
      <c r="AI80" s="30" t="s">
        <v>255</v>
      </c>
      <c r="AJ80" s="31"/>
      <c r="AK80" s="31"/>
      <c r="AL80" s="30" t="b">
        <v>1</v>
      </c>
      <c r="AM80" s="31"/>
      <c r="AN80" s="31"/>
      <c r="AO80" s="31"/>
      <c r="AP80" s="31"/>
      <c r="AQ80" s="31"/>
    </row>
    <row r="81" ht="12.75" customHeight="1">
      <c r="A81" s="30" t="s">
        <v>448</v>
      </c>
      <c r="B81" s="30" t="s">
        <v>449</v>
      </c>
      <c r="C81" s="31"/>
      <c r="D81" s="31"/>
      <c r="E81" s="30" t="s">
        <v>195</v>
      </c>
      <c r="F81" s="30" t="s">
        <v>196</v>
      </c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>
        <v>1.0</v>
      </c>
      <c r="W81" s="31"/>
      <c r="X81" s="31"/>
      <c r="Y81" s="31"/>
      <c r="Z81" s="31"/>
      <c r="AA81" s="31"/>
      <c r="AB81" s="30" t="b">
        <f t="shared" si="6"/>
        <v>0</v>
      </c>
      <c r="AC81" s="30" t="b">
        <v>1</v>
      </c>
      <c r="AD81" s="31"/>
      <c r="AE81" s="31"/>
      <c r="AF81" s="31"/>
      <c r="AG81" s="30" t="b">
        <v>1</v>
      </c>
      <c r="AH81" s="31"/>
      <c r="AI81" s="31"/>
      <c r="AJ81" s="31"/>
      <c r="AK81" s="31"/>
      <c r="AL81" s="30" t="b">
        <v>1</v>
      </c>
      <c r="AM81" s="31"/>
      <c r="AN81" s="31"/>
      <c r="AO81" s="31"/>
      <c r="AP81" s="31"/>
      <c r="AQ81" s="31"/>
    </row>
    <row r="82" ht="12.75" customHeight="1">
      <c r="A82" s="30" t="s">
        <v>450</v>
      </c>
      <c r="B82" s="30" t="s">
        <v>451</v>
      </c>
      <c r="C82" s="30" t="s">
        <v>452</v>
      </c>
      <c r="D82" s="30" t="s">
        <v>453</v>
      </c>
      <c r="E82" s="30" t="s">
        <v>195</v>
      </c>
      <c r="F82" s="30" t="s">
        <v>196</v>
      </c>
      <c r="G82" s="31"/>
      <c r="H82" s="31"/>
      <c r="I82" s="31"/>
      <c r="J82" s="31"/>
      <c r="K82" s="31"/>
      <c r="L82" s="31"/>
      <c r="M82" s="31"/>
      <c r="N82" s="30">
        <v>6.0</v>
      </c>
      <c r="O82" s="31"/>
      <c r="P82" s="31"/>
      <c r="Q82" s="31"/>
      <c r="R82" s="31"/>
      <c r="S82" s="31"/>
      <c r="T82" s="31"/>
      <c r="U82" s="31"/>
      <c r="V82" s="31"/>
      <c r="W82" s="30">
        <v>1.0</v>
      </c>
      <c r="X82" s="31"/>
      <c r="Y82" s="31"/>
      <c r="Z82" s="31"/>
      <c r="AA82" s="31"/>
      <c r="AB82" s="30" t="b">
        <f t="shared" si="6"/>
        <v>0</v>
      </c>
      <c r="AC82" s="30" t="b">
        <v>0</v>
      </c>
      <c r="AD82" s="31"/>
      <c r="AE82" s="31"/>
      <c r="AF82" s="31"/>
      <c r="AG82" s="31"/>
      <c r="AH82" s="31"/>
      <c r="AI82" s="31"/>
      <c r="AJ82" s="31"/>
      <c r="AK82" s="31"/>
      <c r="AL82" s="30" t="b">
        <v>1</v>
      </c>
      <c r="AM82" s="31"/>
      <c r="AN82" s="31"/>
      <c r="AO82" s="31"/>
      <c r="AP82" s="31"/>
      <c r="AQ82" s="31"/>
    </row>
    <row r="83" ht="12.75" customHeight="1">
      <c r="A83" s="30" t="s">
        <v>454</v>
      </c>
      <c r="B83" s="30" t="s">
        <v>455</v>
      </c>
      <c r="C83" s="30" t="s">
        <v>456</v>
      </c>
      <c r="D83" s="31"/>
      <c r="E83" s="30" t="s">
        <v>195</v>
      </c>
      <c r="F83" s="30" t="s">
        <v>211</v>
      </c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0" t="b">
        <f t="shared" si="6"/>
        <v>0</v>
      </c>
      <c r="AC83" s="30" t="b">
        <v>1</v>
      </c>
      <c r="AD83" s="30" t="b">
        <v>1</v>
      </c>
      <c r="AE83" s="31"/>
      <c r="AF83" s="31"/>
      <c r="AG83" s="31"/>
      <c r="AH83" s="31"/>
      <c r="AI83" s="31"/>
      <c r="AJ83" s="31"/>
      <c r="AK83" s="31"/>
      <c r="AL83" s="30" t="b">
        <v>1</v>
      </c>
      <c r="AM83" s="31"/>
      <c r="AN83" s="31"/>
      <c r="AO83" s="31"/>
      <c r="AP83" s="31"/>
      <c r="AQ83" s="31"/>
    </row>
    <row r="84" ht="12.75" customHeight="1">
      <c r="A84" s="30" t="s">
        <v>457</v>
      </c>
      <c r="B84" s="30" t="s">
        <v>458</v>
      </c>
      <c r="C84" s="30" t="s">
        <v>459</v>
      </c>
      <c r="D84" s="30" t="s">
        <v>460</v>
      </c>
      <c r="E84" s="30" t="s">
        <v>118</v>
      </c>
      <c r="F84" s="30" t="s">
        <v>119</v>
      </c>
      <c r="G84" s="31"/>
      <c r="H84" s="30" t="b">
        <v>1</v>
      </c>
      <c r="I84" s="31"/>
      <c r="J84" s="30" t="b">
        <v>1</v>
      </c>
      <c r="K84" s="31"/>
      <c r="L84" s="31"/>
      <c r="M84" s="31"/>
      <c r="N84" s="30">
        <v>11.0</v>
      </c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0" t="b">
        <f t="shared" si="6"/>
        <v>0</v>
      </c>
      <c r="AC84" s="30" t="b">
        <v>0</v>
      </c>
      <c r="AD84" s="31"/>
      <c r="AE84" s="31"/>
      <c r="AF84" s="31"/>
      <c r="AG84" s="31"/>
      <c r="AH84" s="31"/>
      <c r="AI84" s="31"/>
      <c r="AJ84" s="31"/>
      <c r="AK84" s="31"/>
      <c r="AL84" s="30" t="b">
        <v>1</v>
      </c>
      <c r="AM84" s="31"/>
      <c r="AN84" s="31"/>
      <c r="AO84" s="31"/>
      <c r="AP84" s="31"/>
      <c r="AQ84" s="31"/>
    </row>
    <row r="85" ht="12.75" customHeight="1">
      <c r="A85" s="30" t="s">
        <v>461</v>
      </c>
      <c r="B85" s="30" t="s">
        <v>462</v>
      </c>
      <c r="C85" s="30" t="s">
        <v>463</v>
      </c>
      <c r="D85" s="30" t="s">
        <v>464</v>
      </c>
      <c r="E85" s="30" t="s">
        <v>118</v>
      </c>
      <c r="F85" s="30" t="s">
        <v>119</v>
      </c>
      <c r="G85" s="31"/>
      <c r="H85" s="30" t="b">
        <v>1</v>
      </c>
      <c r="I85" s="31"/>
      <c r="J85" s="30" t="b">
        <v>1</v>
      </c>
      <c r="K85" s="31"/>
      <c r="L85" s="31"/>
      <c r="M85" s="31"/>
      <c r="N85" s="30">
        <v>11.0</v>
      </c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0" t="b">
        <f t="shared" si="6"/>
        <v>0</v>
      </c>
      <c r="AC85" s="30" t="b">
        <v>0</v>
      </c>
      <c r="AD85" s="31"/>
      <c r="AE85" s="31"/>
      <c r="AF85" s="31"/>
      <c r="AG85" s="31"/>
      <c r="AH85" s="31"/>
      <c r="AI85" s="31"/>
      <c r="AJ85" s="31"/>
      <c r="AK85" s="31"/>
      <c r="AL85" s="30" t="b">
        <v>1</v>
      </c>
      <c r="AM85" s="31"/>
      <c r="AN85" s="31"/>
      <c r="AO85" s="31"/>
      <c r="AP85" s="31"/>
      <c r="AQ85" s="31"/>
    </row>
    <row r="86" ht="12.75" customHeight="1">
      <c r="A86" s="30" t="s">
        <v>465</v>
      </c>
      <c r="B86" s="30" t="s">
        <v>466</v>
      </c>
      <c r="C86" s="31"/>
      <c r="D86" s="31"/>
      <c r="E86" s="30" t="s">
        <v>118</v>
      </c>
      <c r="F86" s="30" t="s">
        <v>465</v>
      </c>
      <c r="G86" s="31"/>
      <c r="H86" s="30" t="b">
        <v>1</v>
      </c>
      <c r="I86" s="31"/>
      <c r="J86" s="31" t="b">
        <v>1</v>
      </c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0" t="b">
        <f t="shared" si="6"/>
        <v>0</v>
      </c>
      <c r="AC86" s="30" t="b">
        <v>0</v>
      </c>
      <c r="AD86" s="31"/>
      <c r="AE86" s="31"/>
      <c r="AF86" s="31"/>
      <c r="AG86" s="31"/>
      <c r="AH86" s="31"/>
      <c r="AI86" s="31"/>
      <c r="AJ86" s="31"/>
      <c r="AK86" s="31"/>
      <c r="AL86" s="31"/>
      <c r="AM86" s="30" t="b">
        <v>1</v>
      </c>
      <c r="AN86" s="31"/>
      <c r="AO86" s="31"/>
      <c r="AP86" s="31"/>
      <c r="AQ86" s="31"/>
    </row>
    <row r="87" ht="12.75" customHeight="1">
      <c r="A87" s="30" t="s">
        <v>467</v>
      </c>
      <c r="B87" s="30" t="s">
        <v>468</v>
      </c>
      <c r="C87" s="31"/>
      <c r="D87" s="31"/>
      <c r="E87" s="30" t="s">
        <v>137</v>
      </c>
      <c r="F87" s="30" t="s">
        <v>138</v>
      </c>
      <c r="G87" s="30" t="s">
        <v>469</v>
      </c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0" t="s">
        <v>140</v>
      </c>
      <c r="AC87" s="30" t="s">
        <v>140</v>
      </c>
      <c r="AD87" s="31"/>
      <c r="AE87" s="31"/>
      <c r="AF87" s="31"/>
      <c r="AG87" s="31"/>
      <c r="AH87" s="31"/>
      <c r="AI87" s="31"/>
      <c r="AJ87" s="31"/>
      <c r="AK87" s="31"/>
      <c r="AL87" s="30" t="b">
        <v>1</v>
      </c>
      <c r="AM87" s="31"/>
      <c r="AN87" s="31"/>
      <c r="AO87" s="31"/>
      <c r="AP87" s="31"/>
      <c r="AQ87" s="31"/>
    </row>
    <row r="88" ht="12.75" customHeight="1">
      <c r="A88" s="30" t="s">
        <v>470</v>
      </c>
      <c r="B88" s="30" t="s">
        <v>471</v>
      </c>
      <c r="C88" s="30" t="s">
        <v>472</v>
      </c>
      <c r="D88" s="30" t="s">
        <v>473</v>
      </c>
      <c r="E88" s="30" t="s">
        <v>195</v>
      </c>
      <c r="F88" s="31"/>
      <c r="G88" s="31"/>
      <c r="H88" s="31"/>
      <c r="I88" s="31"/>
      <c r="J88" s="31"/>
      <c r="K88" s="31"/>
      <c r="L88" s="30" t="b">
        <v>1</v>
      </c>
      <c r="M88" s="31"/>
      <c r="N88" s="30">
        <v>10.0</v>
      </c>
      <c r="O88" s="31"/>
      <c r="P88" s="31"/>
      <c r="Q88" s="30">
        <v>9.0</v>
      </c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0" t="b">
        <f t="shared" ref="AB88:AB94" si="7">OR(P88&gt;0,Q88&gt;0,R88&gt;0)</f>
        <v>1</v>
      </c>
      <c r="AC88" s="30" t="b">
        <v>0</v>
      </c>
      <c r="AD88" s="31"/>
      <c r="AE88" s="31"/>
      <c r="AF88" s="31"/>
      <c r="AG88" s="31"/>
      <c r="AH88" s="31"/>
      <c r="AI88" s="31"/>
      <c r="AJ88" s="30" t="s">
        <v>474</v>
      </c>
      <c r="AK88" s="31"/>
      <c r="AL88" s="30" t="b">
        <v>1</v>
      </c>
      <c r="AM88" s="31"/>
      <c r="AN88" s="31"/>
      <c r="AO88" s="31"/>
      <c r="AP88" s="31"/>
      <c r="AQ88" s="31"/>
    </row>
    <row r="89" ht="12.75" customHeight="1">
      <c r="A89" s="30" t="s">
        <v>475</v>
      </c>
      <c r="B89" s="30" t="s">
        <v>476</v>
      </c>
      <c r="C89" s="31"/>
      <c r="D89" s="31"/>
      <c r="E89" s="30" t="s">
        <v>195</v>
      </c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0" t="b">
        <f t="shared" si="7"/>
        <v>0</v>
      </c>
      <c r="AC89" s="31" t="b">
        <v>0</v>
      </c>
      <c r="AD89" s="31"/>
      <c r="AE89" s="31"/>
      <c r="AF89" s="31"/>
      <c r="AG89" s="31"/>
      <c r="AH89" s="31"/>
      <c r="AI89" s="31"/>
      <c r="AJ89" s="31"/>
      <c r="AK89" s="31"/>
      <c r="AL89" s="30" t="b">
        <v>1</v>
      </c>
      <c r="AM89" s="31"/>
      <c r="AN89" s="31"/>
      <c r="AO89" s="31"/>
      <c r="AP89" s="31"/>
      <c r="AQ89" s="31"/>
    </row>
    <row r="90" ht="12.75" customHeight="1">
      <c r="A90" s="30" t="s">
        <v>477</v>
      </c>
      <c r="B90" s="30" t="s">
        <v>478</v>
      </c>
      <c r="C90" s="30"/>
      <c r="D90" s="30"/>
      <c r="E90" s="30" t="s">
        <v>118</v>
      </c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>
        <v>1.0</v>
      </c>
      <c r="T90" s="31"/>
      <c r="U90" s="31"/>
      <c r="V90" s="31"/>
      <c r="W90" s="31"/>
      <c r="X90" s="31"/>
      <c r="Y90" s="31"/>
      <c r="Z90" s="31"/>
      <c r="AA90" s="31"/>
      <c r="AB90" s="30" t="b">
        <f t="shared" si="7"/>
        <v>0</v>
      </c>
      <c r="AC90" s="31" t="b">
        <v>0</v>
      </c>
      <c r="AD90" s="30" t="b">
        <v>1</v>
      </c>
      <c r="AE90" s="31"/>
      <c r="AF90" s="31"/>
      <c r="AG90" s="31"/>
      <c r="AH90" s="31"/>
      <c r="AI90" s="30" t="s">
        <v>255</v>
      </c>
      <c r="AJ90" s="31"/>
      <c r="AK90" s="31"/>
      <c r="AL90" s="30" t="b">
        <v>1</v>
      </c>
      <c r="AM90" s="31"/>
      <c r="AN90" s="31"/>
      <c r="AO90" s="31"/>
      <c r="AP90" s="31"/>
      <c r="AQ90" s="31"/>
    </row>
    <row r="91" ht="12.75" customHeight="1">
      <c r="A91" s="30" t="s">
        <v>479</v>
      </c>
      <c r="B91" s="30" t="s">
        <v>480</v>
      </c>
      <c r="C91" s="30"/>
      <c r="D91" s="30"/>
      <c r="E91" s="30" t="s">
        <v>118</v>
      </c>
      <c r="F91" s="30" t="s">
        <v>78</v>
      </c>
      <c r="G91" s="31"/>
      <c r="H91" s="31"/>
      <c r="I91" s="31"/>
      <c r="J91" s="31"/>
      <c r="K91" s="31" t="b">
        <v>1</v>
      </c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0" t="b">
        <f t="shared" si="7"/>
        <v>0</v>
      </c>
      <c r="AC91" s="31" t="b">
        <v>0</v>
      </c>
      <c r="AD91" s="31"/>
      <c r="AE91" s="31"/>
      <c r="AF91" s="31"/>
      <c r="AG91" s="31"/>
      <c r="AH91" s="31"/>
      <c r="AI91" s="31"/>
      <c r="AJ91" s="31"/>
      <c r="AK91" s="31"/>
      <c r="AL91" s="30" t="b">
        <v>1</v>
      </c>
      <c r="AM91" s="31"/>
      <c r="AN91" s="31"/>
      <c r="AO91" s="31"/>
      <c r="AP91" s="31"/>
      <c r="AQ91" s="31"/>
    </row>
    <row r="92" ht="12.75" customHeight="1">
      <c r="A92" s="30" t="s">
        <v>481</v>
      </c>
      <c r="B92" s="30" t="s">
        <v>482</v>
      </c>
      <c r="C92" s="30"/>
      <c r="D92" s="30"/>
      <c r="E92" s="30" t="s">
        <v>118</v>
      </c>
      <c r="F92" s="30" t="s">
        <v>234</v>
      </c>
      <c r="G92" s="31"/>
      <c r="H92" s="31"/>
      <c r="I92" s="31"/>
      <c r="J92" s="31" t="b">
        <v>1</v>
      </c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0" t="b">
        <f t="shared" si="7"/>
        <v>0</v>
      </c>
      <c r="AC92" s="30" t="b">
        <v>0</v>
      </c>
      <c r="AD92" s="31"/>
      <c r="AE92" s="31"/>
      <c r="AF92" s="31"/>
      <c r="AG92" s="31"/>
      <c r="AH92" s="31"/>
      <c r="AI92" s="31"/>
      <c r="AJ92" s="31"/>
      <c r="AK92" s="31"/>
      <c r="AL92" s="30" t="b">
        <v>1</v>
      </c>
      <c r="AM92" s="31"/>
      <c r="AN92" s="31"/>
      <c r="AO92" s="31"/>
      <c r="AP92" s="31"/>
      <c r="AQ92" s="31"/>
    </row>
    <row r="93" ht="12.75" customHeight="1">
      <c r="A93" s="30" t="s">
        <v>483</v>
      </c>
      <c r="B93" s="30" t="s">
        <v>484</v>
      </c>
      <c r="C93" s="30"/>
      <c r="D93" s="30"/>
      <c r="E93" s="30" t="s">
        <v>118</v>
      </c>
      <c r="F93" s="31"/>
      <c r="G93" s="31"/>
      <c r="H93" s="31"/>
      <c r="I93" s="31"/>
      <c r="J93" s="31" t="b">
        <v>1</v>
      </c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0" t="b">
        <f t="shared" si="7"/>
        <v>0</v>
      </c>
      <c r="AC93" s="31" t="b">
        <v>0</v>
      </c>
      <c r="AD93" s="31"/>
      <c r="AE93" s="31"/>
      <c r="AF93" s="31"/>
      <c r="AG93" s="31"/>
      <c r="AH93" s="31"/>
      <c r="AI93" s="31"/>
      <c r="AJ93" s="31"/>
      <c r="AK93" s="31"/>
      <c r="AL93" s="30" t="b">
        <v>1</v>
      </c>
      <c r="AM93" s="31"/>
      <c r="AN93" s="31"/>
      <c r="AO93" s="31"/>
      <c r="AP93" s="31"/>
      <c r="AQ93" s="31"/>
    </row>
    <row r="94" ht="12.75" customHeight="1">
      <c r="A94" s="30" t="s">
        <v>485</v>
      </c>
      <c r="B94" s="30" t="s">
        <v>486</v>
      </c>
      <c r="C94" s="31"/>
      <c r="D94" s="31"/>
      <c r="E94" s="30" t="s">
        <v>118</v>
      </c>
      <c r="F94" s="30" t="s">
        <v>78</v>
      </c>
      <c r="G94" s="31"/>
      <c r="H94" s="31"/>
      <c r="I94" s="31"/>
      <c r="J94" s="31"/>
      <c r="K94" s="31" t="b">
        <v>1</v>
      </c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0" t="b">
        <f t="shared" si="7"/>
        <v>0</v>
      </c>
      <c r="AC94" s="31" t="b">
        <v>0</v>
      </c>
      <c r="AD94" s="31"/>
      <c r="AE94" s="31"/>
      <c r="AF94" s="31"/>
      <c r="AG94" s="31"/>
      <c r="AH94" s="31"/>
      <c r="AI94" s="31"/>
      <c r="AJ94" s="31"/>
      <c r="AK94" s="31"/>
      <c r="AL94" s="30" t="b">
        <v>1</v>
      </c>
      <c r="AM94" s="31"/>
      <c r="AN94" s="31"/>
      <c r="AO94" s="31"/>
      <c r="AP94" s="31"/>
      <c r="AQ94" s="31"/>
    </row>
    <row r="95" ht="12.75" customHeight="1">
      <c r="A95" s="30" t="s">
        <v>487</v>
      </c>
      <c r="B95" s="30" t="s">
        <v>488</v>
      </c>
      <c r="C95" s="31"/>
      <c r="D95" s="31"/>
      <c r="E95" s="30" t="s">
        <v>137</v>
      </c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0" t="s">
        <v>140</v>
      </c>
      <c r="AC95" s="31" t="s">
        <v>140</v>
      </c>
      <c r="AD95" s="30" t="b">
        <v>1</v>
      </c>
      <c r="AE95" s="31"/>
      <c r="AF95" s="31"/>
      <c r="AG95" s="31"/>
      <c r="AH95" s="31"/>
      <c r="AI95" s="31"/>
      <c r="AJ95" s="31"/>
      <c r="AK95" s="31"/>
      <c r="AL95" s="30" t="b">
        <v>1</v>
      </c>
      <c r="AM95" s="31"/>
      <c r="AN95" s="31"/>
      <c r="AO95" s="31"/>
      <c r="AP95" s="31"/>
      <c r="AQ95" s="31"/>
    </row>
    <row r="96" ht="12.75" customHeight="1">
      <c r="A96" s="30" t="s">
        <v>489</v>
      </c>
      <c r="B96" s="30" t="s">
        <v>490</v>
      </c>
      <c r="C96" s="31"/>
      <c r="D96" s="31"/>
      <c r="E96" s="30" t="s">
        <v>118</v>
      </c>
      <c r="F96" s="30" t="s">
        <v>148</v>
      </c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>
        <v>2.0</v>
      </c>
      <c r="AB96" s="30" t="b">
        <f t="shared" ref="AB96:AB101" si="8">OR(P96&gt;0,Q96&gt;0,R96&gt;0)</f>
        <v>0</v>
      </c>
      <c r="AC96" s="31" t="b">
        <v>0</v>
      </c>
      <c r="AD96" s="30" t="b">
        <v>1</v>
      </c>
      <c r="AE96" s="31"/>
      <c r="AF96" s="31"/>
      <c r="AG96" s="31"/>
      <c r="AH96" s="31"/>
      <c r="AI96" s="31"/>
      <c r="AJ96" s="31"/>
      <c r="AK96" s="31"/>
      <c r="AL96" s="30" t="b">
        <v>1</v>
      </c>
      <c r="AM96" s="31"/>
      <c r="AN96" s="31"/>
      <c r="AO96" s="31"/>
      <c r="AP96" s="31"/>
      <c r="AQ96" s="31"/>
    </row>
    <row r="97" ht="12.75" customHeight="1">
      <c r="A97" s="30" t="s">
        <v>491</v>
      </c>
      <c r="B97" s="30" t="s">
        <v>492</v>
      </c>
      <c r="C97" s="31"/>
      <c r="D97" s="31"/>
      <c r="E97" s="30" t="s">
        <v>118</v>
      </c>
      <c r="F97" s="30" t="s">
        <v>493</v>
      </c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0" t="b">
        <f t="shared" si="8"/>
        <v>0</v>
      </c>
      <c r="AC97" s="31" t="b">
        <v>0</v>
      </c>
      <c r="AD97" s="30" t="b">
        <v>1</v>
      </c>
      <c r="AE97" s="31"/>
      <c r="AF97" s="31"/>
      <c r="AG97" s="31"/>
      <c r="AH97" s="31"/>
      <c r="AI97" s="31"/>
      <c r="AJ97" s="31"/>
      <c r="AK97" s="31"/>
      <c r="AL97" s="30" t="b">
        <v>1</v>
      </c>
      <c r="AM97" s="31"/>
      <c r="AN97" s="31"/>
      <c r="AO97" s="31"/>
      <c r="AP97" s="31"/>
      <c r="AQ97" s="31"/>
    </row>
    <row r="98" ht="12.75" customHeight="1">
      <c r="A98" s="30" t="s">
        <v>494</v>
      </c>
      <c r="B98" s="30" t="s">
        <v>495</v>
      </c>
      <c r="C98" s="31"/>
      <c r="D98" s="31"/>
      <c r="E98" s="30" t="s">
        <v>195</v>
      </c>
      <c r="F98" s="30" t="s">
        <v>196</v>
      </c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>
        <v>1.0</v>
      </c>
      <c r="W98" s="31"/>
      <c r="X98" s="31"/>
      <c r="Y98" s="31"/>
      <c r="Z98" s="31"/>
      <c r="AA98" s="31"/>
      <c r="AB98" s="30" t="b">
        <f t="shared" si="8"/>
        <v>0</v>
      </c>
      <c r="AC98" s="31" t="b">
        <v>1</v>
      </c>
      <c r="AD98" s="30" t="b">
        <v>1</v>
      </c>
      <c r="AE98" s="31"/>
      <c r="AF98" s="31"/>
      <c r="AG98" s="31"/>
      <c r="AH98" s="31"/>
      <c r="AI98" s="31"/>
      <c r="AJ98" s="31"/>
      <c r="AK98" s="31"/>
      <c r="AL98" s="30" t="b">
        <v>1</v>
      </c>
      <c r="AM98" s="31"/>
      <c r="AN98" s="31"/>
      <c r="AO98" s="31"/>
      <c r="AP98" s="31"/>
      <c r="AQ98" s="31"/>
    </row>
    <row r="99" ht="12.75" customHeight="1">
      <c r="A99" s="30" t="s">
        <v>496</v>
      </c>
      <c r="B99" s="30" t="s">
        <v>497</v>
      </c>
      <c r="C99" s="31"/>
      <c r="D99" s="30" t="s">
        <v>498</v>
      </c>
      <c r="E99" s="30" t="s">
        <v>195</v>
      </c>
      <c r="F99" s="30" t="s">
        <v>211</v>
      </c>
      <c r="G99" s="31"/>
      <c r="H99" s="31"/>
      <c r="I99" s="31"/>
      <c r="J99" s="31"/>
      <c r="K99" s="31"/>
      <c r="L99" s="31"/>
      <c r="M99" s="31"/>
      <c r="N99" s="30">
        <v>2.0</v>
      </c>
      <c r="O99" s="31"/>
      <c r="P99" s="31"/>
      <c r="Q99" s="30">
        <v>4.0</v>
      </c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0" t="b">
        <f t="shared" si="8"/>
        <v>1</v>
      </c>
      <c r="AC99" s="30" t="b">
        <v>1</v>
      </c>
      <c r="AD99" s="31"/>
      <c r="AE99" s="31"/>
      <c r="AF99" s="31"/>
      <c r="AG99" s="31"/>
      <c r="AH99" s="31"/>
      <c r="AI99" s="31"/>
      <c r="AJ99" s="30" t="s">
        <v>499</v>
      </c>
      <c r="AK99" s="31"/>
      <c r="AL99" s="30" t="b">
        <v>1</v>
      </c>
      <c r="AM99" s="31"/>
      <c r="AN99" s="31"/>
      <c r="AO99" s="31"/>
      <c r="AP99" s="31"/>
      <c r="AQ99" s="31"/>
    </row>
    <row r="100" ht="12.75" customHeight="1">
      <c r="A100" s="30" t="s">
        <v>500</v>
      </c>
      <c r="B100" s="30" t="s">
        <v>501</v>
      </c>
      <c r="C100" s="30" t="s">
        <v>502</v>
      </c>
      <c r="D100" s="30" t="s">
        <v>503</v>
      </c>
      <c r="E100" s="30" t="s">
        <v>195</v>
      </c>
      <c r="F100" s="30" t="s">
        <v>211</v>
      </c>
      <c r="G100" s="31"/>
      <c r="H100" s="31"/>
      <c r="I100" s="31"/>
      <c r="J100" s="31"/>
      <c r="K100" s="31"/>
      <c r="L100" s="31"/>
      <c r="M100" s="31"/>
      <c r="N100" s="30">
        <v>2.0</v>
      </c>
      <c r="O100" s="31"/>
      <c r="P100" s="31"/>
      <c r="Q100" s="30">
        <v>4.0</v>
      </c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0" t="b">
        <f t="shared" si="8"/>
        <v>1</v>
      </c>
      <c r="AC100" s="30" t="b">
        <v>1</v>
      </c>
      <c r="AD100" s="31"/>
      <c r="AE100" s="31"/>
      <c r="AF100" s="31"/>
      <c r="AG100" s="31"/>
      <c r="AH100" s="31"/>
      <c r="AI100" s="31"/>
      <c r="AJ100" s="31"/>
      <c r="AK100" s="31"/>
      <c r="AL100" s="30" t="b">
        <v>1</v>
      </c>
      <c r="AM100" s="31"/>
      <c r="AN100" s="31"/>
      <c r="AO100" s="31"/>
      <c r="AP100" s="31"/>
      <c r="AQ100" s="31"/>
    </row>
    <row r="101" ht="12.75" customHeight="1">
      <c r="A101" s="30" t="s">
        <v>504</v>
      </c>
      <c r="B101" s="30" t="s">
        <v>505</v>
      </c>
      <c r="C101" s="30" t="s">
        <v>506</v>
      </c>
      <c r="D101" s="31"/>
      <c r="E101" s="30" t="s">
        <v>195</v>
      </c>
      <c r="F101" s="30" t="s">
        <v>352</v>
      </c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0" t="b">
        <f t="shared" si="8"/>
        <v>0</v>
      </c>
      <c r="AC101" s="31" t="b">
        <v>0</v>
      </c>
      <c r="AD101" s="30" t="b">
        <v>1</v>
      </c>
      <c r="AE101" s="31"/>
      <c r="AF101" s="31"/>
      <c r="AG101" s="31"/>
      <c r="AH101" s="31"/>
      <c r="AI101" s="31"/>
      <c r="AJ101" s="31"/>
      <c r="AK101" s="31"/>
      <c r="AL101" s="30" t="b">
        <v>1</v>
      </c>
      <c r="AM101" s="31"/>
      <c r="AN101" s="31"/>
      <c r="AO101" s="31"/>
      <c r="AP101" s="31"/>
      <c r="AQ101" s="31"/>
    </row>
    <row r="102" ht="12.75" customHeight="1">
      <c r="A102" s="30" t="s">
        <v>507</v>
      </c>
      <c r="B102" s="30" t="s">
        <v>508</v>
      </c>
      <c r="C102" s="31"/>
      <c r="D102" s="31"/>
      <c r="E102" s="30" t="s">
        <v>137</v>
      </c>
      <c r="F102" s="30" t="s">
        <v>138</v>
      </c>
      <c r="G102" s="30" t="s">
        <v>509</v>
      </c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0" t="s">
        <v>140</v>
      </c>
      <c r="AC102" s="31" t="s">
        <v>140</v>
      </c>
      <c r="AD102" s="30" t="b">
        <v>1</v>
      </c>
      <c r="AE102" s="31"/>
      <c r="AF102" s="31"/>
      <c r="AG102" s="31"/>
      <c r="AH102" s="31"/>
      <c r="AI102" s="31"/>
      <c r="AJ102" s="31"/>
      <c r="AK102" s="31"/>
      <c r="AL102" s="30" t="b">
        <v>1</v>
      </c>
      <c r="AM102" s="31"/>
      <c r="AN102" s="31"/>
      <c r="AO102" s="31"/>
      <c r="AP102" s="31"/>
      <c r="AQ102" s="31"/>
    </row>
    <row r="103" ht="12.75" customHeight="1">
      <c r="A103" s="30" t="s">
        <v>510</v>
      </c>
      <c r="B103" s="30" t="s">
        <v>510</v>
      </c>
      <c r="C103" s="31"/>
      <c r="D103" s="31"/>
      <c r="E103" s="30" t="s">
        <v>118</v>
      </c>
      <c r="F103" s="30" t="s">
        <v>234</v>
      </c>
      <c r="G103" s="31"/>
      <c r="H103" s="30" t="b">
        <v>1</v>
      </c>
      <c r="I103" s="31"/>
      <c r="J103" s="31" t="b">
        <v>1</v>
      </c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0" t="b">
        <f>OR(P103&gt;0,Q103&gt;0,R103&gt;0)</f>
        <v>0</v>
      </c>
      <c r="AC103" s="31" t="b">
        <v>0</v>
      </c>
      <c r="AD103" s="30" t="b">
        <v>1</v>
      </c>
      <c r="AE103" s="31"/>
      <c r="AF103" s="31"/>
      <c r="AG103" s="31"/>
      <c r="AH103" s="31"/>
      <c r="AI103" s="31"/>
      <c r="AJ103" s="31"/>
      <c r="AK103" s="31"/>
      <c r="AL103" s="30" t="b">
        <v>1</v>
      </c>
      <c r="AM103" s="30" t="b">
        <v>1</v>
      </c>
      <c r="AN103" s="31"/>
      <c r="AO103" s="31"/>
      <c r="AP103" s="31"/>
      <c r="AQ103" s="31"/>
    </row>
    <row r="104" ht="12.75" customHeight="1">
      <c r="A104" s="30" t="s">
        <v>511</v>
      </c>
      <c r="B104" s="30" t="s">
        <v>512</v>
      </c>
      <c r="C104" s="31"/>
      <c r="D104" s="31"/>
      <c r="E104" s="30" t="s">
        <v>513</v>
      </c>
      <c r="F104" s="30" t="s">
        <v>514</v>
      </c>
      <c r="G104" s="31"/>
      <c r="H104" s="31"/>
      <c r="I104" s="31"/>
      <c r="J104" s="31" t="b">
        <v>1</v>
      </c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0" t="s">
        <v>140</v>
      </c>
      <c r="AC104" s="31" t="s">
        <v>140</v>
      </c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0" t="b">
        <v>1</v>
      </c>
      <c r="AO104" s="30" t="b">
        <v>1</v>
      </c>
      <c r="AP104" s="31"/>
      <c r="AQ104" s="31"/>
    </row>
    <row r="105" ht="12.75" customHeight="1">
      <c r="A105" s="30" t="s">
        <v>515</v>
      </c>
      <c r="B105" s="30" t="s">
        <v>516</v>
      </c>
      <c r="C105" s="31"/>
      <c r="D105" s="31"/>
      <c r="E105" s="30" t="s">
        <v>513</v>
      </c>
      <c r="F105" s="30" t="s">
        <v>514</v>
      </c>
      <c r="G105" s="31"/>
      <c r="H105" s="31"/>
      <c r="I105" s="31"/>
      <c r="J105" s="31" t="b">
        <v>1</v>
      </c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 t="s">
        <v>140</v>
      </c>
      <c r="AC105" s="31" t="s">
        <v>140</v>
      </c>
      <c r="AD105" s="31"/>
      <c r="AE105" s="31"/>
      <c r="AF105" s="31"/>
      <c r="AG105" s="31"/>
      <c r="AH105" s="31"/>
      <c r="AI105" s="31"/>
      <c r="AJ105" s="31"/>
      <c r="AK105" s="31"/>
      <c r="AL105" s="30" t="b">
        <v>1</v>
      </c>
      <c r="AM105" s="30" t="b">
        <v>1</v>
      </c>
      <c r="AN105" s="30" t="b">
        <v>1</v>
      </c>
      <c r="AO105" s="31"/>
      <c r="AP105" s="30" t="b">
        <v>1</v>
      </c>
      <c r="AQ105" s="30" t="b">
        <v>1</v>
      </c>
    </row>
    <row r="106" ht="12.75" customHeight="1">
      <c r="A106" s="30" t="s">
        <v>517</v>
      </c>
      <c r="B106" s="30" t="s">
        <v>518</v>
      </c>
      <c r="C106" s="31"/>
      <c r="D106" s="31"/>
      <c r="E106" s="30" t="s">
        <v>513</v>
      </c>
      <c r="F106" s="30" t="s">
        <v>514</v>
      </c>
      <c r="G106" s="31"/>
      <c r="H106" s="31"/>
      <c r="I106" s="31"/>
      <c r="J106" s="31" t="b">
        <v>1</v>
      </c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 t="s">
        <v>140</v>
      </c>
      <c r="AC106" s="31" t="s">
        <v>140</v>
      </c>
      <c r="AD106" s="31"/>
      <c r="AE106" s="31"/>
      <c r="AF106" s="31"/>
      <c r="AG106" s="31"/>
      <c r="AH106" s="31"/>
      <c r="AI106" s="31"/>
      <c r="AJ106" s="31"/>
      <c r="AK106" s="31"/>
      <c r="AL106" s="31"/>
      <c r="AM106" s="30" t="b">
        <v>1</v>
      </c>
      <c r="AN106" s="30" t="b">
        <v>1</v>
      </c>
      <c r="AO106" s="31"/>
      <c r="AP106" s="30" t="b">
        <v>1</v>
      </c>
      <c r="AQ106" s="31"/>
    </row>
    <row r="107" ht="12.75" customHeight="1">
      <c r="A107" s="30" t="s">
        <v>519</v>
      </c>
      <c r="B107" s="30" t="s">
        <v>520</v>
      </c>
      <c r="C107" s="31"/>
      <c r="D107" s="31"/>
      <c r="E107" s="30" t="s">
        <v>513</v>
      </c>
      <c r="F107" s="30" t="s">
        <v>514</v>
      </c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 t="s">
        <v>140</v>
      </c>
      <c r="AC107" s="31" t="s">
        <v>140</v>
      </c>
      <c r="AD107" s="31"/>
      <c r="AE107" s="31"/>
      <c r="AF107" s="31"/>
      <c r="AG107" s="31"/>
      <c r="AH107" s="31"/>
      <c r="AI107" s="31"/>
      <c r="AJ107" s="31"/>
      <c r="AK107" s="31"/>
      <c r="AL107" s="30" t="b">
        <v>1</v>
      </c>
      <c r="AM107" s="30" t="b">
        <v>1</v>
      </c>
      <c r="AN107" s="30" t="b">
        <v>1</v>
      </c>
      <c r="AO107" s="31"/>
      <c r="AP107" s="30" t="b">
        <v>1</v>
      </c>
      <c r="AQ107" s="30" t="b">
        <v>1</v>
      </c>
    </row>
    <row r="108" ht="12.75" customHeight="1">
      <c r="A108" s="30" t="s">
        <v>521</v>
      </c>
      <c r="B108" s="30" t="s">
        <v>522</v>
      </c>
      <c r="C108" s="31"/>
      <c r="D108" s="31"/>
      <c r="E108" s="30" t="s">
        <v>513</v>
      </c>
      <c r="F108" s="30" t="s">
        <v>514</v>
      </c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 t="s">
        <v>140</v>
      </c>
      <c r="AC108" s="31" t="s">
        <v>140</v>
      </c>
      <c r="AD108" s="31"/>
      <c r="AE108" s="31"/>
      <c r="AF108" s="31"/>
      <c r="AG108" s="31"/>
      <c r="AH108" s="31"/>
      <c r="AI108" s="31"/>
      <c r="AJ108" s="31"/>
      <c r="AK108" s="31"/>
      <c r="AL108" s="31"/>
      <c r="AM108" s="30" t="b">
        <v>1</v>
      </c>
      <c r="AN108" s="30" t="b">
        <v>1</v>
      </c>
      <c r="AO108" s="31"/>
      <c r="AP108" s="30" t="b">
        <v>1</v>
      </c>
      <c r="AQ108" s="31"/>
    </row>
    <row r="109" ht="12.75" customHeight="1">
      <c r="A109" s="30" t="s">
        <v>523</v>
      </c>
      <c r="B109" s="30" t="s">
        <v>524</v>
      </c>
      <c r="C109" s="31"/>
      <c r="D109" s="31"/>
      <c r="E109" s="30" t="s">
        <v>513</v>
      </c>
      <c r="F109" s="30" t="s">
        <v>514</v>
      </c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 t="s">
        <v>140</v>
      </c>
      <c r="AC109" s="31" t="s">
        <v>140</v>
      </c>
      <c r="AD109" s="31"/>
      <c r="AE109" s="31"/>
      <c r="AF109" s="31"/>
      <c r="AG109" s="31"/>
      <c r="AH109" s="31"/>
      <c r="AI109" s="31"/>
      <c r="AJ109" s="31"/>
      <c r="AK109" s="31"/>
      <c r="AL109" s="31"/>
      <c r="AM109" s="30" t="b">
        <v>1</v>
      </c>
      <c r="AN109" s="30" t="b">
        <v>1</v>
      </c>
      <c r="AO109" s="31"/>
      <c r="AP109" s="30" t="b">
        <v>1</v>
      </c>
      <c r="AQ109" s="31"/>
    </row>
    <row r="110" ht="12.75" customHeight="1">
      <c r="A110" s="30" t="s">
        <v>525</v>
      </c>
      <c r="B110" s="30" t="s">
        <v>526</v>
      </c>
      <c r="C110" s="31"/>
      <c r="D110" s="31"/>
      <c r="E110" s="30" t="s">
        <v>513</v>
      </c>
      <c r="F110" s="30" t="s">
        <v>527</v>
      </c>
      <c r="G110" s="31"/>
      <c r="H110" s="31"/>
      <c r="I110" s="31" t="b">
        <v>1</v>
      </c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0" t="b">
        <f t="shared" ref="AB110:AB126" si="9">OR(P110&gt;0,Q110&gt;0,R110&gt;0)</f>
        <v>0</v>
      </c>
      <c r="AC110" s="31" t="b">
        <v>1</v>
      </c>
      <c r="AD110" s="30" t="b">
        <v>1</v>
      </c>
      <c r="AE110" s="31"/>
      <c r="AF110" s="31"/>
      <c r="AG110" s="31"/>
      <c r="AH110" s="31"/>
      <c r="AI110" s="31"/>
      <c r="AJ110" s="31"/>
      <c r="AK110" s="31"/>
      <c r="AL110" s="30" t="b">
        <v>1</v>
      </c>
      <c r="AM110" s="31"/>
      <c r="AN110" s="31"/>
      <c r="AO110" s="31"/>
      <c r="AP110" s="31"/>
      <c r="AQ110" s="31"/>
    </row>
    <row r="111" ht="12.75" customHeight="1">
      <c r="A111" s="30" t="s">
        <v>528</v>
      </c>
      <c r="B111" s="30" t="s">
        <v>529</v>
      </c>
      <c r="C111" s="31"/>
      <c r="D111" s="30" t="s">
        <v>530</v>
      </c>
      <c r="E111" s="30" t="s">
        <v>118</v>
      </c>
      <c r="F111" s="30" t="s">
        <v>205</v>
      </c>
      <c r="G111" s="31"/>
      <c r="H111" s="31"/>
      <c r="I111" s="31"/>
      <c r="J111" s="31"/>
      <c r="K111" s="31"/>
      <c r="L111" s="31"/>
      <c r="M111" s="31"/>
      <c r="N111" s="30">
        <v>6.0</v>
      </c>
      <c r="O111" s="31"/>
      <c r="P111" s="31"/>
      <c r="Q111" s="30">
        <v>3.0</v>
      </c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0" t="b">
        <f t="shared" si="9"/>
        <v>1</v>
      </c>
      <c r="AC111" s="30" t="b">
        <v>0</v>
      </c>
      <c r="AD111" s="31"/>
      <c r="AE111" s="31"/>
      <c r="AF111" s="31"/>
      <c r="AG111" s="31"/>
      <c r="AH111" s="31"/>
      <c r="AI111" s="31"/>
      <c r="AJ111" s="31"/>
      <c r="AK111" s="31"/>
      <c r="AL111" s="30" t="b">
        <v>1</v>
      </c>
      <c r="AM111" s="31"/>
      <c r="AN111" s="31"/>
      <c r="AO111" s="31"/>
      <c r="AP111" s="31"/>
      <c r="AQ111" s="31"/>
    </row>
    <row r="112" ht="12.75" customHeight="1">
      <c r="A112" s="30" t="s">
        <v>531</v>
      </c>
      <c r="B112" s="30" t="s">
        <v>532</v>
      </c>
      <c r="C112" s="31"/>
      <c r="D112" s="30" t="s">
        <v>533</v>
      </c>
      <c r="E112" s="30" t="s">
        <v>118</v>
      </c>
      <c r="F112" s="30" t="s">
        <v>205</v>
      </c>
      <c r="G112" s="31"/>
      <c r="H112" s="31"/>
      <c r="I112" s="31"/>
      <c r="J112" s="31"/>
      <c r="K112" s="31"/>
      <c r="L112" s="31"/>
      <c r="M112" s="31"/>
      <c r="N112" s="30">
        <v>6.0</v>
      </c>
      <c r="O112" s="31"/>
      <c r="P112" s="31"/>
      <c r="Q112" s="30">
        <v>3.0</v>
      </c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0" t="b">
        <f t="shared" si="9"/>
        <v>1</v>
      </c>
      <c r="AC112" s="30" t="b">
        <v>0</v>
      </c>
      <c r="AD112" s="30" t="b">
        <v>1</v>
      </c>
      <c r="AE112" s="31"/>
      <c r="AF112" s="31"/>
      <c r="AG112" s="31"/>
      <c r="AH112" s="31"/>
      <c r="AI112" s="31"/>
      <c r="AJ112" s="31"/>
      <c r="AK112" s="31"/>
      <c r="AL112" s="30" t="b">
        <v>1</v>
      </c>
      <c r="AM112" s="31"/>
      <c r="AN112" s="31"/>
      <c r="AO112" s="31"/>
      <c r="AP112" s="31"/>
      <c r="AQ112" s="31"/>
    </row>
    <row r="113" ht="12.75" customHeight="1">
      <c r="A113" s="30" t="s">
        <v>534</v>
      </c>
      <c r="B113" s="30" t="s">
        <v>535</v>
      </c>
      <c r="C113" s="30" t="s">
        <v>536</v>
      </c>
      <c r="D113" s="30" t="s">
        <v>537</v>
      </c>
      <c r="E113" s="30" t="s">
        <v>195</v>
      </c>
      <c r="F113" s="30" t="s">
        <v>211</v>
      </c>
      <c r="G113" s="31"/>
      <c r="H113" s="31"/>
      <c r="I113" s="31"/>
      <c r="J113" s="31"/>
      <c r="K113" s="31"/>
      <c r="L113" s="31"/>
      <c r="M113" s="31"/>
      <c r="N113" s="30">
        <v>2.0</v>
      </c>
      <c r="O113" s="31"/>
      <c r="P113" s="31"/>
      <c r="Q113" s="30">
        <v>3.0</v>
      </c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0" t="b">
        <f t="shared" si="9"/>
        <v>1</v>
      </c>
      <c r="AC113" s="30" t="b">
        <v>1</v>
      </c>
      <c r="AD113" s="30" t="b">
        <v>1</v>
      </c>
      <c r="AE113" s="31"/>
      <c r="AF113" s="31"/>
      <c r="AG113" s="31"/>
      <c r="AH113" s="30" t="b">
        <v>1</v>
      </c>
      <c r="AI113" s="31"/>
      <c r="AJ113" s="30" t="s">
        <v>538</v>
      </c>
      <c r="AK113" s="31"/>
      <c r="AL113" s="30" t="b">
        <v>1</v>
      </c>
      <c r="AM113" s="31"/>
      <c r="AN113" s="31"/>
      <c r="AO113" s="31"/>
      <c r="AP113" s="31"/>
      <c r="AQ113" s="31"/>
    </row>
    <row r="114" ht="12.75" customHeight="1">
      <c r="A114" s="30" t="s">
        <v>539</v>
      </c>
      <c r="B114" s="30" t="s">
        <v>540</v>
      </c>
      <c r="C114" s="30" t="s">
        <v>541</v>
      </c>
      <c r="D114" s="30" t="s">
        <v>542</v>
      </c>
      <c r="E114" s="30" t="s">
        <v>195</v>
      </c>
      <c r="F114" s="30" t="s">
        <v>211</v>
      </c>
      <c r="G114" s="31"/>
      <c r="H114" s="31"/>
      <c r="I114" s="31"/>
      <c r="J114" s="31"/>
      <c r="K114" s="31"/>
      <c r="L114" s="31"/>
      <c r="M114" s="31"/>
      <c r="N114" s="30">
        <v>2.0</v>
      </c>
      <c r="O114" s="31"/>
      <c r="P114" s="31"/>
      <c r="Q114" s="30">
        <v>3.0</v>
      </c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0" t="b">
        <f t="shared" si="9"/>
        <v>1</v>
      </c>
      <c r="AC114" s="30" t="b">
        <v>1</v>
      </c>
      <c r="AD114" s="30" t="b">
        <v>1</v>
      </c>
      <c r="AE114" s="31"/>
      <c r="AF114" s="31"/>
      <c r="AG114" s="31"/>
      <c r="AH114" s="31"/>
      <c r="AI114" s="31"/>
      <c r="AJ114" s="31"/>
      <c r="AK114" s="31"/>
      <c r="AL114" s="30" t="b">
        <v>1</v>
      </c>
      <c r="AM114" s="31"/>
      <c r="AN114" s="31"/>
      <c r="AO114" s="31"/>
      <c r="AP114" s="31"/>
      <c r="AQ114" s="31"/>
    </row>
    <row r="115" ht="12.75" customHeight="1">
      <c r="A115" s="30" t="s">
        <v>543</v>
      </c>
      <c r="B115" s="30" t="s">
        <v>544</v>
      </c>
      <c r="C115" s="30" t="s">
        <v>545</v>
      </c>
      <c r="D115" s="31"/>
      <c r="E115" s="30" t="s">
        <v>195</v>
      </c>
      <c r="F115" s="30" t="s">
        <v>271</v>
      </c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0" t="b">
        <f t="shared" si="9"/>
        <v>0</v>
      </c>
      <c r="AC115" s="31" t="b">
        <v>0</v>
      </c>
      <c r="AD115" s="30" t="b">
        <v>1</v>
      </c>
      <c r="AE115" s="31"/>
      <c r="AF115" s="31"/>
      <c r="AG115" s="31"/>
      <c r="AH115" s="31"/>
      <c r="AI115" s="31"/>
      <c r="AJ115" s="31"/>
      <c r="AK115" s="31"/>
      <c r="AL115" s="30" t="b">
        <v>1</v>
      </c>
      <c r="AM115" s="31"/>
      <c r="AN115" s="31"/>
      <c r="AO115" s="31"/>
      <c r="AP115" s="31"/>
      <c r="AQ115" s="31"/>
    </row>
    <row r="116" ht="12.75" customHeight="1">
      <c r="A116" s="30" t="s">
        <v>546</v>
      </c>
      <c r="B116" s="30" t="s">
        <v>547</v>
      </c>
      <c r="C116" s="31"/>
      <c r="D116" s="31"/>
      <c r="E116" s="30" t="s">
        <v>195</v>
      </c>
      <c r="F116" s="30" t="s">
        <v>211</v>
      </c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0" t="b">
        <f t="shared" si="9"/>
        <v>0</v>
      </c>
      <c r="AC116" s="31" t="b">
        <v>1</v>
      </c>
      <c r="AD116" s="31"/>
      <c r="AE116" s="31"/>
      <c r="AF116" s="31"/>
      <c r="AG116" s="31"/>
      <c r="AH116" s="31"/>
      <c r="AI116" s="31"/>
      <c r="AJ116" s="31"/>
      <c r="AK116" s="31"/>
      <c r="AL116" s="30" t="b">
        <v>1</v>
      </c>
      <c r="AM116" s="31"/>
      <c r="AN116" s="31"/>
      <c r="AO116" s="31"/>
      <c r="AP116" s="31"/>
      <c r="AQ116" s="31"/>
    </row>
    <row r="117" ht="12.75" customHeight="1">
      <c r="A117" s="30" t="s">
        <v>548</v>
      </c>
      <c r="B117" s="30" t="s">
        <v>549</v>
      </c>
      <c r="C117" s="31"/>
      <c r="D117" s="30" t="s">
        <v>550</v>
      </c>
      <c r="E117" s="30" t="s">
        <v>195</v>
      </c>
      <c r="F117" s="30" t="s">
        <v>211</v>
      </c>
      <c r="G117" s="31"/>
      <c r="H117" s="31"/>
      <c r="I117" s="31"/>
      <c r="J117" s="31"/>
      <c r="K117" s="31"/>
      <c r="L117" s="31"/>
      <c r="M117" s="31"/>
      <c r="N117" s="30">
        <v>3.0</v>
      </c>
      <c r="O117" s="31"/>
      <c r="P117" s="31"/>
      <c r="Q117" s="30">
        <v>3.0</v>
      </c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0" t="b">
        <f t="shared" si="9"/>
        <v>1</v>
      </c>
      <c r="AC117" s="30" t="b">
        <v>1</v>
      </c>
      <c r="AD117" s="31"/>
      <c r="AE117" s="31"/>
      <c r="AF117" s="31"/>
      <c r="AG117" s="30" t="b">
        <v>1</v>
      </c>
      <c r="AH117" s="31"/>
      <c r="AI117" s="31"/>
      <c r="AJ117" s="31"/>
      <c r="AK117" s="31"/>
      <c r="AL117" s="30" t="b">
        <v>1</v>
      </c>
      <c r="AM117" s="31"/>
      <c r="AN117" s="31"/>
      <c r="AO117" s="31"/>
      <c r="AP117" s="31"/>
      <c r="AQ117" s="31"/>
    </row>
    <row r="118" ht="12.75" customHeight="1">
      <c r="A118" s="30" t="s">
        <v>551</v>
      </c>
      <c r="B118" s="30" t="s">
        <v>552</v>
      </c>
      <c r="C118" s="30" t="s">
        <v>553</v>
      </c>
      <c r="D118" s="30" t="s">
        <v>554</v>
      </c>
      <c r="E118" s="30" t="s">
        <v>118</v>
      </c>
      <c r="F118" s="30" t="s">
        <v>234</v>
      </c>
      <c r="G118" s="31"/>
      <c r="H118" s="31"/>
      <c r="I118" s="31"/>
      <c r="J118" s="31" t="b">
        <v>1</v>
      </c>
      <c r="K118" s="31"/>
      <c r="L118" s="31"/>
      <c r="M118" s="31"/>
      <c r="N118" s="30">
        <v>9.0</v>
      </c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0" t="b">
        <f t="shared" si="9"/>
        <v>0</v>
      </c>
      <c r="AC118" s="30" t="b">
        <v>0</v>
      </c>
      <c r="AD118" s="31"/>
      <c r="AE118" s="31"/>
      <c r="AF118" s="31"/>
      <c r="AG118" s="30" t="b">
        <v>1</v>
      </c>
      <c r="AH118" s="31"/>
      <c r="AI118" s="31"/>
      <c r="AJ118" s="31"/>
      <c r="AK118" s="31"/>
      <c r="AL118" s="30" t="b">
        <v>1</v>
      </c>
      <c r="AM118" s="31"/>
      <c r="AN118" s="31"/>
      <c r="AO118" s="31"/>
      <c r="AP118" s="31"/>
      <c r="AQ118" s="31"/>
    </row>
    <row r="119" ht="12.75" customHeight="1">
      <c r="A119" s="30" t="s">
        <v>555</v>
      </c>
      <c r="B119" s="30" t="s">
        <v>556</v>
      </c>
      <c r="C119" s="30" t="s">
        <v>557</v>
      </c>
      <c r="D119" s="30" t="s">
        <v>558</v>
      </c>
      <c r="E119" s="30" t="s">
        <v>118</v>
      </c>
      <c r="F119" s="30" t="s">
        <v>234</v>
      </c>
      <c r="G119" s="31"/>
      <c r="H119" s="31"/>
      <c r="I119" s="31"/>
      <c r="J119" s="31" t="b">
        <v>1</v>
      </c>
      <c r="K119" s="31"/>
      <c r="L119" s="31"/>
      <c r="M119" s="31"/>
      <c r="N119" s="30">
        <v>9.0</v>
      </c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0" t="b">
        <f t="shared" si="9"/>
        <v>0</v>
      </c>
      <c r="AC119" s="30" t="b">
        <v>0</v>
      </c>
      <c r="AD119" s="31"/>
      <c r="AE119" s="31"/>
      <c r="AF119" s="31"/>
      <c r="AG119" s="31"/>
      <c r="AH119" s="31"/>
      <c r="AI119" s="31"/>
      <c r="AJ119" s="31"/>
      <c r="AK119" s="31"/>
      <c r="AL119" s="30" t="b">
        <v>1</v>
      </c>
      <c r="AM119" s="31"/>
      <c r="AN119" s="31"/>
      <c r="AO119" s="31"/>
      <c r="AP119" s="31"/>
      <c r="AQ119" s="31"/>
    </row>
    <row r="120" ht="12.75" customHeight="1">
      <c r="A120" s="30" t="s">
        <v>559</v>
      </c>
      <c r="B120" s="30" t="s">
        <v>560</v>
      </c>
      <c r="C120" s="31"/>
      <c r="D120" s="30" t="s">
        <v>140</v>
      </c>
      <c r="E120" s="30" t="s">
        <v>513</v>
      </c>
      <c r="F120" s="30" t="s">
        <v>527</v>
      </c>
      <c r="G120" s="31"/>
      <c r="H120" s="31"/>
      <c r="I120" s="31"/>
      <c r="J120" s="31" t="b">
        <v>1</v>
      </c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0" t="b">
        <f t="shared" si="9"/>
        <v>0</v>
      </c>
      <c r="AC120" s="30" t="b">
        <v>0</v>
      </c>
      <c r="AD120" s="31"/>
      <c r="AE120" s="31"/>
      <c r="AF120" s="31"/>
      <c r="AG120" s="31"/>
      <c r="AH120" s="31"/>
      <c r="AI120" s="31"/>
      <c r="AJ120" s="31"/>
      <c r="AK120" s="34" t="s">
        <v>561</v>
      </c>
      <c r="AL120" s="30" t="b">
        <v>1</v>
      </c>
      <c r="AM120" s="31"/>
      <c r="AN120" s="31"/>
      <c r="AO120" s="31"/>
      <c r="AP120" s="31"/>
      <c r="AQ120" s="31"/>
    </row>
    <row r="121" ht="12.75" customHeight="1">
      <c r="A121" s="30" t="s">
        <v>562</v>
      </c>
      <c r="B121" s="30" t="s">
        <v>563</v>
      </c>
      <c r="C121" s="31"/>
      <c r="D121" s="31"/>
      <c r="E121" s="30" t="s">
        <v>118</v>
      </c>
      <c r="F121" s="31"/>
      <c r="G121" s="31"/>
      <c r="H121" s="31"/>
      <c r="I121" s="31"/>
      <c r="J121" s="31" t="b">
        <v>1</v>
      </c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0" t="b">
        <f t="shared" si="9"/>
        <v>0</v>
      </c>
      <c r="AC121" s="31" t="b">
        <v>0</v>
      </c>
      <c r="AD121" s="31"/>
      <c r="AE121" s="31"/>
      <c r="AF121" s="31"/>
      <c r="AG121" s="31"/>
      <c r="AH121" s="31"/>
      <c r="AI121" s="31"/>
      <c r="AJ121" s="31"/>
      <c r="AK121" s="31"/>
      <c r="AL121" s="30" t="b">
        <v>1</v>
      </c>
      <c r="AM121" s="31"/>
      <c r="AN121" s="31"/>
      <c r="AO121" s="31"/>
      <c r="AP121" s="31"/>
      <c r="AQ121" s="31"/>
    </row>
    <row r="122" ht="12.75" customHeight="1">
      <c r="A122" s="30" t="s">
        <v>564</v>
      </c>
      <c r="B122" s="30" t="s">
        <v>565</v>
      </c>
      <c r="C122" s="31"/>
      <c r="D122" s="31"/>
      <c r="E122" s="30" t="s">
        <v>513</v>
      </c>
      <c r="F122" s="30" t="s">
        <v>527</v>
      </c>
      <c r="G122" s="31"/>
      <c r="H122" s="30" t="b">
        <v>1</v>
      </c>
      <c r="I122" s="31"/>
      <c r="J122" s="31" t="b">
        <v>1</v>
      </c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0" t="b">
        <f t="shared" si="9"/>
        <v>0</v>
      </c>
      <c r="AC122" s="31" t="b">
        <v>0</v>
      </c>
      <c r="AD122" s="30" t="b">
        <v>1</v>
      </c>
      <c r="AE122" s="31"/>
      <c r="AF122" s="31"/>
      <c r="AG122" s="31"/>
      <c r="AH122" s="31"/>
      <c r="AI122" s="31"/>
      <c r="AJ122" s="31"/>
      <c r="AK122" s="31"/>
      <c r="AL122" s="30" t="b">
        <v>1</v>
      </c>
      <c r="AM122" s="30" t="b">
        <v>1</v>
      </c>
      <c r="AN122" s="31"/>
      <c r="AO122" s="31"/>
      <c r="AP122" s="31"/>
      <c r="AQ122" s="31"/>
    </row>
    <row r="123" ht="12.75" customHeight="1">
      <c r="A123" s="34" t="s">
        <v>566</v>
      </c>
      <c r="B123" s="30"/>
      <c r="C123" s="30"/>
      <c r="D123" s="30"/>
      <c r="E123" s="30"/>
      <c r="F123" s="30"/>
      <c r="G123" s="31"/>
      <c r="H123" s="30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0" t="b">
        <f t="shared" si="9"/>
        <v>0</v>
      </c>
      <c r="AC123" s="31"/>
      <c r="AD123" s="31"/>
      <c r="AE123" s="31"/>
      <c r="AF123" s="31"/>
      <c r="AG123" s="31"/>
      <c r="AH123" s="31"/>
      <c r="AI123" s="31"/>
      <c r="AJ123" s="31"/>
      <c r="AK123" s="31"/>
      <c r="AL123" s="30" t="b">
        <v>1</v>
      </c>
      <c r="AM123" s="31"/>
      <c r="AN123" s="31"/>
      <c r="AO123" s="31"/>
      <c r="AP123" s="31"/>
      <c r="AQ123" s="31"/>
    </row>
    <row r="124" ht="12.75" customHeight="1">
      <c r="A124" s="34" t="s">
        <v>567</v>
      </c>
      <c r="B124" s="30"/>
      <c r="C124" s="30"/>
      <c r="D124" s="30"/>
      <c r="E124" s="30"/>
      <c r="F124" s="30"/>
      <c r="G124" s="31"/>
      <c r="H124" s="30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0" t="b">
        <f t="shared" si="9"/>
        <v>0</v>
      </c>
      <c r="AC124" s="31"/>
      <c r="AD124" s="31"/>
      <c r="AE124" s="31"/>
      <c r="AF124" s="31"/>
      <c r="AG124" s="31"/>
      <c r="AH124" s="31"/>
      <c r="AI124" s="31"/>
      <c r="AJ124" s="31"/>
      <c r="AK124" s="31"/>
      <c r="AL124" s="30" t="b">
        <v>1</v>
      </c>
      <c r="AM124" s="31"/>
      <c r="AN124" s="31"/>
      <c r="AO124" s="31"/>
      <c r="AP124" s="31"/>
      <c r="AQ124" s="31"/>
    </row>
    <row r="125" ht="12.75" customHeight="1">
      <c r="A125" s="34" t="s">
        <v>568</v>
      </c>
      <c r="B125" s="30"/>
      <c r="C125" s="30"/>
      <c r="D125" s="30"/>
      <c r="E125" s="30"/>
      <c r="F125" s="30"/>
      <c r="G125" s="31"/>
      <c r="H125" s="30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0" t="b">
        <f t="shared" si="9"/>
        <v>0</v>
      </c>
      <c r="AC125" s="31"/>
      <c r="AD125" s="31"/>
      <c r="AE125" s="31"/>
      <c r="AF125" s="31"/>
      <c r="AG125" s="31"/>
      <c r="AH125" s="31"/>
      <c r="AI125" s="31"/>
      <c r="AJ125" s="31"/>
      <c r="AK125" s="31"/>
      <c r="AL125" s="30" t="b">
        <v>1</v>
      </c>
      <c r="AM125" s="31"/>
      <c r="AN125" s="31"/>
      <c r="AO125" s="31"/>
      <c r="AP125" s="31"/>
      <c r="AQ125" s="31"/>
    </row>
    <row r="126" ht="12.75" customHeight="1">
      <c r="A126" s="34" t="s">
        <v>569</v>
      </c>
      <c r="B126" s="30"/>
      <c r="C126" s="30"/>
      <c r="D126" s="30"/>
      <c r="E126" s="30"/>
      <c r="F126" s="30"/>
      <c r="G126" s="31"/>
      <c r="H126" s="30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0" t="b">
        <f t="shared" si="9"/>
        <v>0</v>
      </c>
      <c r="AC126" s="31"/>
      <c r="AD126" s="31"/>
      <c r="AE126" s="31"/>
      <c r="AF126" s="31"/>
      <c r="AG126" s="31"/>
      <c r="AH126" s="31"/>
      <c r="AI126" s="31"/>
      <c r="AJ126" s="31"/>
      <c r="AK126" s="31"/>
      <c r="AL126" s="30" t="b">
        <v>1</v>
      </c>
      <c r="AM126" s="31"/>
      <c r="AN126" s="31"/>
      <c r="AO126" s="31"/>
      <c r="AP126" s="31"/>
      <c r="AQ126" s="31"/>
    </row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2025-10-15T21:26:32Z</dcterms:created>
  <dc:creator>Catherine Rong</dc:creator>
</cp:coreProperties>
</file>